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ergi\Desktop\CLUB12\"/>
    </mc:Choice>
  </mc:AlternateContent>
  <xr:revisionPtr revIDLastSave="0" documentId="13_ncr:1_{91238B13-FF28-4DF5-A01B-179A71D46D87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lista scommesse" sheetId="1" r:id="rId1"/>
  </sheets>
  <definedNames>
    <definedName name="_xlnm._FilterDatabase" localSheetId="0" hidden="1">'lista scommesse'!$A$1:$P$226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6" i="1" l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H115" i="1"/>
  <c r="M115" i="1"/>
  <c r="N115" i="1"/>
  <c r="H116" i="1"/>
  <c r="N116" i="1" s="1"/>
  <c r="M116" i="1"/>
  <c r="H117" i="1"/>
  <c r="M117" i="1"/>
  <c r="N117" i="1"/>
  <c r="H118" i="1"/>
  <c r="N118" i="1" s="1"/>
  <c r="M118" i="1"/>
  <c r="H119" i="1"/>
  <c r="N119" i="1" s="1"/>
  <c r="M119" i="1"/>
  <c r="H120" i="1"/>
  <c r="M120" i="1"/>
  <c r="N120" i="1"/>
  <c r="H121" i="1"/>
  <c r="N121" i="1" s="1"/>
  <c r="M121" i="1"/>
  <c r="H122" i="1"/>
  <c r="N122" i="1" s="1"/>
  <c r="M122" i="1"/>
  <c r="H123" i="1"/>
  <c r="M123" i="1"/>
  <c r="N123" i="1"/>
  <c r="H124" i="1"/>
  <c r="M124" i="1"/>
  <c r="N124" i="1"/>
  <c r="H125" i="1"/>
  <c r="M125" i="1"/>
  <c r="N125" i="1"/>
  <c r="H126" i="1"/>
  <c r="N126" i="1" s="1"/>
  <c r="M126" i="1"/>
  <c r="H127" i="1"/>
  <c r="M127" i="1"/>
  <c r="N127" i="1"/>
  <c r="H128" i="1"/>
  <c r="M128" i="1"/>
  <c r="N128" i="1"/>
  <c r="H129" i="1"/>
  <c r="M129" i="1"/>
  <c r="N129" i="1"/>
  <c r="H130" i="1"/>
  <c r="M130" i="1"/>
  <c r="N130" i="1"/>
  <c r="H131" i="1"/>
  <c r="M131" i="1"/>
  <c r="N131" i="1"/>
  <c r="H132" i="1"/>
  <c r="M132" i="1"/>
  <c r="N132" i="1"/>
  <c r="H133" i="1"/>
  <c r="M133" i="1"/>
  <c r="N133" i="1"/>
  <c r="H134" i="1"/>
  <c r="M134" i="1"/>
  <c r="N134" i="1"/>
  <c r="H135" i="1"/>
  <c r="M135" i="1"/>
  <c r="N135" i="1"/>
  <c r="H136" i="1"/>
  <c r="M136" i="1"/>
  <c r="N136" i="1"/>
  <c r="H137" i="1"/>
  <c r="M137" i="1"/>
  <c r="N137" i="1"/>
  <c r="H138" i="1"/>
  <c r="M138" i="1"/>
  <c r="N138" i="1"/>
  <c r="H139" i="1"/>
  <c r="M139" i="1"/>
  <c r="N139" i="1"/>
  <c r="H140" i="1"/>
  <c r="M140" i="1"/>
  <c r="N140" i="1"/>
  <c r="H141" i="1"/>
  <c r="M141" i="1"/>
  <c r="N141" i="1"/>
  <c r="H142" i="1"/>
  <c r="M142" i="1"/>
  <c r="N142" i="1"/>
  <c r="H143" i="1"/>
  <c r="M143" i="1"/>
  <c r="N143" i="1"/>
  <c r="H144" i="1"/>
  <c r="M144" i="1"/>
  <c r="N144" i="1"/>
  <c r="H145" i="1"/>
  <c r="M145" i="1"/>
  <c r="N145" i="1"/>
  <c r="H146" i="1"/>
  <c r="M146" i="1"/>
  <c r="N146" i="1"/>
  <c r="H147" i="1"/>
  <c r="M147" i="1"/>
  <c r="N147" i="1"/>
  <c r="H148" i="1"/>
  <c r="M148" i="1"/>
  <c r="N148" i="1"/>
  <c r="H149" i="1"/>
  <c r="M149" i="1"/>
  <c r="N149" i="1"/>
  <c r="H150" i="1"/>
  <c r="M150" i="1"/>
  <c r="N150" i="1"/>
  <c r="H151" i="1"/>
  <c r="M151" i="1"/>
  <c r="N151" i="1"/>
  <c r="H152" i="1"/>
  <c r="M152" i="1"/>
  <c r="N152" i="1"/>
  <c r="H153" i="1"/>
  <c r="M153" i="1"/>
  <c r="N153" i="1"/>
  <c r="H154" i="1"/>
  <c r="M154" i="1"/>
  <c r="N154" i="1"/>
  <c r="H155" i="1"/>
  <c r="M155" i="1"/>
  <c r="N155" i="1"/>
  <c r="H156" i="1"/>
  <c r="M156" i="1"/>
  <c r="N156" i="1"/>
  <c r="H157" i="1"/>
  <c r="M157" i="1"/>
  <c r="N157" i="1"/>
  <c r="H158" i="1"/>
  <c r="M158" i="1"/>
  <c r="N158" i="1"/>
  <c r="H159" i="1"/>
  <c r="M159" i="1"/>
  <c r="N159" i="1"/>
  <c r="H160" i="1"/>
  <c r="M160" i="1"/>
  <c r="N160" i="1"/>
  <c r="H161" i="1"/>
  <c r="M161" i="1"/>
  <c r="N161" i="1"/>
  <c r="H162" i="1"/>
  <c r="M162" i="1"/>
  <c r="N162" i="1"/>
  <c r="H163" i="1"/>
  <c r="M163" i="1"/>
  <c r="N163" i="1"/>
  <c r="H164" i="1"/>
  <c r="M164" i="1"/>
  <c r="N164" i="1"/>
  <c r="H165" i="1"/>
  <c r="M165" i="1"/>
  <c r="N165" i="1"/>
  <c r="H166" i="1"/>
  <c r="M166" i="1"/>
  <c r="N166" i="1"/>
  <c r="H167" i="1"/>
  <c r="M167" i="1"/>
  <c r="N167" i="1"/>
  <c r="H168" i="1"/>
  <c r="M168" i="1"/>
  <c r="N168" i="1"/>
  <c r="H169" i="1"/>
  <c r="M169" i="1"/>
  <c r="N169" i="1"/>
  <c r="H170" i="1"/>
  <c r="M170" i="1"/>
  <c r="N170" i="1"/>
  <c r="H171" i="1"/>
  <c r="M171" i="1"/>
  <c r="N171" i="1"/>
  <c r="H172" i="1"/>
  <c r="M172" i="1"/>
  <c r="N172" i="1"/>
  <c r="H173" i="1"/>
  <c r="M173" i="1"/>
  <c r="N173" i="1"/>
  <c r="H174" i="1"/>
  <c r="M174" i="1"/>
  <c r="N174" i="1"/>
  <c r="H175" i="1"/>
  <c r="M175" i="1"/>
  <c r="N175" i="1"/>
  <c r="H176" i="1"/>
  <c r="M176" i="1"/>
  <c r="N176" i="1"/>
  <c r="H177" i="1"/>
  <c r="M177" i="1"/>
  <c r="N177" i="1"/>
  <c r="H178" i="1"/>
  <c r="M178" i="1"/>
  <c r="N178" i="1"/>
  <c r="H179" i="1"/>
  <c r="M179" i="1"/>
  <c r="N179" i="1"/>
  <c r="H180" i="1"/>
  <c r="M180" i="1"/>
  <c r="N180" i="1"/>
  <c r="H181" i="1"/>
  <c r="M181" i="1"/>
  <c r="N181" i="1"/>
  <c r="H182" i="1"/>
  <c r="M182" i="1"/>
  <c r="N182" i="1"/>
  <c r="H183" i="1"/>
  <c r="M183" i="1"/>
  <c r="N183" i="1"/>
  <c r="H184" i="1"/>
  <c r="M184" i="1"/>
  <c r="N184" i="1"/>
  <c r="H185" i="1"/>
  <c r="M185" i="1"/>
  <c r="N185" i="1"/>
  <c r="H186" i="1"/>
  <c r="M186" i="1"/>
  <c r="N186" i="1"/>
  <c r="H187" i="1"/>
  <c r="M187" i="1"/>
  <c r="N187" i="1"/>
  <c r="H188" i="1"/>
  <c r="M188" i="1"/>
  <c r="N188" i="1"/>
  <c r="H189" i="1"/>
  <c r="M189" i="1"/>
  <c r="N189" i="1"/>
  <c r="H190" i="1"/>
  <c r="M190" i="1"/>
  <c r="N190" i="1"/>
  <c r="H191" i="1"/>
  <c r="M191" i="1"/>
  <c r="N191" i="1"/>
  <c r="H192" i="1"/>
  <c r="M192" i="1"/>
  <c r="N192" i="1"/>
  <c r="H193" i="1"/>
  <c r="M193" i="1"/>
  <c r="N193" i="1"/>
  <c r="H194" i="1"/>
  <c r="M194" i="1"/>
  <c r="N194" i="1"/>
  <c r="H195" i="1"/>
  <c r="M195" i="1"/>
  <c r="N195" i="1"/>
  <c r="H196" i="1"/>
  <c r="M196" i="1"/>
  <c r="N196" i="1"/>
  <c r="H197" i="1"/>
  <c r="M197" i="1"/>
  <c r="N197" i="1"/>
  <c r="H198" i="1"/>
  <c r="M198" i="1"/>
  <c r="N198" i="1"/>
  <c r="H199" i="1"/>
  <c r="M199" i="1"/>
  <c r="N199" i="1"/>
  <c r="H200" i="1"/>
  <c r="M200" i="1"/>
  <c r="N200" i="1"/>
  <c r="H201" i="1"/>
  <c r="M201" i="1"/>
  <c r="N201" i="1"/>
  <c r="H202" i="1"/>
  <c r="M202" i="1"/>
  <c r="N202" i="1"/>
  <c r="H203" i="1"/>
  <c r="M203" i="1"/>
  <c r="N203" i="1"/>
  <c r="H204" i="1"/>
  <c r="M204" i="1"/>
  <c r="N204" i="1"/>
  <c r="H205" i="1"/>
  <c r="M205" i="1"/>
  <c r="N205" i="1"/>
  <c r="H206" i="1"/>
  <c r="M206" i="1"/>
  <c r="N206" i="1"/>
  <c r="H207" i="1"/>
  <c r="M207" i="1"/>
  <c r="N207" i="1"/>
  <c r="H208" i="1"/>
  <c r="M208" i="1"/>
  <c r="N208" i="1"/>
  <c r="H209" i="1"/>
  <c r="M209" i="1"/>
  <c r="N209" i="1"/>
  <c r="H210" i="1"/>
  <c r="M210" i="1"/>
  <c r="N210" i="1"/>
  <c r="H211" i="1"/>
  <c r="M211" i="1"/>
  <c r="N211" i="1"/>
  <c r="H212" i="1"/>
  <c r="M212" i="1"/>
  <c r="N212" i="1"/>
  <c r="H213" i="1"/>
  <c r="M213" i="1"/>
  <c r="N213" i="1"/>
  <c r="H214" i="1"/>
  <c r="M214" i="1"/>
  <c r="N214" i="1"/>
  <c r="H215" i="1"/>
  <c r="M215" i="1"/>
  <c r="N215" i="1"/>
  <c r="H216" i="1"/>
  <c r="M216" i="1"/>
  <c r="N216" i="1"/>
  <c r="H217" i="1"/>
  <c r="M217" i="1"/>
  <c r="N217" i="1"/>
  <c r="H218" i="1"/>
  <c r="M218" i="1"/>
  <c r="N218" i="1"/>
  <c r="H219" i="1"/>
  <c r="M219" i="1"/>
  <c r="N219" i="1"/>
  <c r="H220" i="1"/>
  <c r="M220" i="1"/>
  <c r="N220" i="1"/>
  <c r="H221" i="1"/>
  <c r="N221" i="1" s="1"/>
  <c r="M221" i="1"/>
  <c r="H222" i="1"/>
  <c r="M222" i="1"/>
  <c r="N222" i="1"/>
  <c r="H223" i="1"/>
  <c r="M223" i="1"/>
  <c r="N223" i="1"/>
  <c r="H224" i="1"/>
  <c r="M224" i="1"/>
  <c r="N224" i="1"/>
  <c r="H225" i="1"/>
  <c r="N225" i="1" s="1"/>
  <c r="M225" i="1"/>
  <c r="H226" i="1"/>
  <c r="M226" i="1"/>
  <c r="N226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H106" i="1"/>
  <c r="N106" i="1" s="1"/>
  <c r="M106" i="1"/>
  <c r="H107" i="1"/>
  <c r="N107" i="1" s="1"/>
  <c r="M107" i="1"/>
  <c r="H108" i="1"/>
  <c r="M108" i="1"/>
  <c r="N108" i="1"/>
  <c r="H109" i="1"/>
  <c r="N109" i="1" s="1"/>
  <c r="M109" i="1"/>
  <c r="H110" i="1"/>
  <c r="N110" i="1" s="1"/>
  <c r="M110" i="1"/>
  <c r="H111" i="1"/>
  <c r="N111" i="1" s="1"/>
  <c r="M111" i="1"/>
  <c r="H112" i="1"/>
  <c r="N112" i="1" s="1"/>
  <c r="M112" i="1"/>
  <c r="H113" i="1"/>
  <c r="N113" i="1" s="1"/>
  <c r="M113" i="1"/>
  <c r="H114" i="1"/>
  <c r="M114" i="1"/>
  <c r="N114" i="1"/>
  <c r="H92" i="1"/>
  <c r="N92" i="1" s="1"/>
  <c r="M92" i="1"/>
  <c r="H93" i="1"/>
  <c r="N93" i="1" s="1"/>
  <c r="M93" i="1"/>
  <c r="H94" i="1"/>
  <c r="N94" i="1" s="1"/>
  <c r="M94" i="1"/>
  <c r="H95" i="1"/>
  <c r="N95" i="1" s="1"/>
  <c r="M95" i="1"/>
  <c r="H96" i="1"/>
  <c r="N96" i="1" s="1"/>
  <c r="M96" i="1"/>
  <c r="H97" i="1"/>
  <c r="M97" i="1"/>
  <c r="N97" i="1"/>
  <c r="H98" i="1"/>
  <c r="M98" i="1"/>
  <c r="N98" i="1"/>
  <c r="H99" i="1"/>
  <c r="N99" i="1" s="1"/>
  <c r="M99" i="1"/>
  <c r="H100" i="1"/>
  <c r="N100" i="1" s="1"/>
  <c r="M100" i="1"/>
  <c r="H101" i="1"/>
  <c r="N101" i="1" s="1"/>
  <c r="M101" i="1"/>
  <c r="H102" i="1"/>
  <c r="M102" i="1"/>
  <c r="N102" i="1"/>
  <c r="H103" i="1"/>
  <c r="N103" i="1" s="1"/>
  <c r="M103" i="1"/>
  <c r="H104" i="1"/>
  <c r="M104" i="1"/>
  <c r="N104" i="1"/>
  <c r="H105" i="1"/>
  <c r="M105" i="1"/>
  <c r="N105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H84" i="1"/>
  <c r="N84" i="1" s="1"/>
  <c r="M84" i="1"/>
  <c r="H85" i="1"/>
  <c r="M85" i="1"/>
  <c r="N85" i="1"/>
  <c r="H86" i="1"/>
  <c r="M86" i="1"/>
  <c r="N86" i="1"/>
  <c r="H87" i="1"/>
  <c r="N87" i="1" s="1"/>
  <c r="M87" i="1"/>
  <c r="H88" i="1"/>
  <c r="M88" i="1"/>
  <c r="N88" i="1"/>
  <c r="H89" i="1"/>
  <c r="N89" i="1" s="1"/>
  <c r="M89" i="1"/>
  <c r="H90" i="1"/>
  <c r="N90" i="1" s="1"/>
  <c r="M90" i="1"/>
  <c r="H91" i="1"/>
  <c r="N91" i="1" s="1"/>
  <c r="M91" i="1"/>
  <c r="H68" i="1"/>
  <c r="N68" i="1" s="1"/>
  <c r="M68" i="1"/>
  <c r="H69" i="1"/>
  <c r="M69" i="1"/>
  <c r="N69" i="1"/>
  <c r="H70" i="1"/>
  <c r="N70" i="1" s="1"/>
  <c r="M70" i="1"/>
  <c r="H71" i="1"/>
  <c r="N71" i="1" s="1"/>
  <c r="M71" i="1"/>
  <c r="H72" i="1"/>
  <c r="N72" i="1" s="1"/>
  <c r="M72" i="1"/>
  <c r="H73" i="1"/>
  <c r="N73" i="1" s="1"/>
  <c r="M73" i="1"/>
  <c r="H74" i="1"/>
  <c r="N74" i="1" s="1"/>
  <c r="M74" i="1"/>
  <c r="H75" i="1"/>
  <c r="N75" i="1" s="1"/>
  <c r="M75" i="1"/>
  <c r="H76" i="1"/>
  <c r="M76" i="1"/>
  <c r="N76" i="1"/>
  <c r="H77" i="1"/>
  <c r="N77" i="1" s="1"/>
  <c r="M77" i="1"/>
  <c r="H78" i="1"/>
  <c r="N78" i="1" s="1"/>
  <c r="M78" i="1"/>
  <c r="H79" i="1"/>
  <c r="M79" i="1"/>
  <c r="N79" i="1"/>
  <c r="H80" i="1"/>
  <c r="N80" i="1" s="1"/>
  <c r="M80" i="1"/>
  <c r="H81" i="1"/>
  <c r="M81" i="1"/>
  <c r="N81" i="1"/>
  <c r="H82" i="1"/>
  <c r="M82" i="1"/>
  <c r="N82" i="1"/>
  <c r="H83" i="1"/>
  <c r="N83" i="1" s="1"/>
  <c r="M83" i="1"/>
  <c r="B64" i="1"/>
  <c r="B63" i="1"/>
  <c r="B62" i="1"/>
  <c r="B61" i="1"/>
  <c r="B60" i="1"/>
  <c r="B59" i="1"/>
  <c r="B58" i="1"/>
  <c r="B49" i="1"/>
  <c r="B50" i="1"/>
  <c r="B51" i="1"/>
  <c r="B52" i="1"/>
  <c r="B53" i="1"/>
  <c r="B54" i="1"/>
  <c r="B55" i="1"/>
  <c r="B56" i="1"/>
  <c r="B57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M67" i="1"/>
  <c r="H67" i="1"/>
  <c r="N67" i="1" s="1"/>
  <c r="M66" i="1"/>
  <c r="H66" i="1"/>
  <c r="N66" i="1" s="1"/>
  <c r="M65" i="1"/>
  <c r="H65" i="1"/>
  <c r="N65" i="1" s="1"/>
  <c r="M64" i="1"/>
  <c r="H64" i="1"/>
  <c r="N64" i="1" s="1"/>
  <c r="M63" i="1"/>
  <c r="H63" i="1"/>
  <c r="N63" i="1" s="1"/>
  <c r="M62" i="1"/>
  <c r="H62" i="1"/>
  <c r="N62" i="1" s="1"/>
  <c r="M61" i="1"/>
  <c r="H61" i="1"/>
  <c r="N61" i="1" s="1"/>
  <c r="M60" i="1"/>
  <c r="H60" i="1"/>
  <c r="N60" i="1" s="1"/>
  <c r="M59" i="1"/>
  <c r="H59" i="1"/>
  <c r="N59" i="1" s="1"/>
  <c r="M58" i="1"/>
  <c r="H58" i="1"/>
  <c r="N58" i="1" s="1"/>
  <c r="M57" i="1"/>
  <c r="H57" i="1"/>
  <c r="N57" i="1" s="1"/>
  <c r="M56" i="1"/>
  <c r="H56" i="1"/>
  <c r="N56" i="1" s="1"/>
  <c r="M55" i="1"/>
  <c r="H55" i="1"/>
  <c r="N55" i="1" s="1"/>
  <c r="M54" i="1"/>
  <c r="H54" i="1"/>
  <c r="N54" i="1" s="1"/>
  <c r="M53" i="1"/>
  <c r="H53" i="1"/>
  <c r="N53" i="1" s="1"/>
  <c r="M52" i="1"/>
  <c r="H52" i="1"/>
  <c r="N52" i="1" s="1"/>
  <c r="M51" i="1"/>
  <c r="H51" i="1"/>
  <c r="N51" i="1" s="1"/>
  <c r="M50" i="1"/>
  <c r="H50" i="1"/>
  <c r="N50" i="1" s="1"/>
  <c r="M49" i="1"/>
  <c r="H49" i="1"/>
  <c r="N49" i="1" s="1"/>
  <c r="M48" i="1"/>
  <c r="H48" i="1"/>
  <c r="N48" i="1" s="1"/>
  <c r="M47" i="1"/>
  <c r="H47" i="1"/>
  <c r="N47" i="1" s="1"/>
  <c r="M46" i="1"/>
  <c r="H46" i="1"/>
  <c r="N46" i="1" s="1"/>
  <c r="M45" i="1"/>
  <c r="H45" i="1"/>
  <c r="N45" i="1" s="1"/>
  <c r="M44" i="1"/>
  <c r="H44" i="1"/>
  <c r="N44" i="1" s="1"/>
  <c r="M43" i="1"/>
  <c r="H43" i="1"/>
  <c r="N43" i="1" s="1"/>
  <c r="M42" i="1"/>
  <c r="H42" i="1"/>
  <c r="N42" i="1" s="1"/>
  <c r="M41" i="1"/>
  <c r="H41" i="1"/>
  <c r="N41" i="1" s="1"/>
  <c r="M40" i="1"/>
  <c r="H40" i="1"/>
  <c r="N40" i="1" s="1"/>
  <c r="M39" i="1"/>
  <c r="H39" i="1"/>
  <c r="N39" i="1" s="1"/>
  <c r="M38" i="1"/>
  <c r="H38" i="1"/>
  <c r="N38" i="1" s="1"/>
  <c r="M37" i="1"/>
  <c r="H37" i="1"/>
  <c r="N37" i="1" s="1"/>
  <c r="M36" i="1"/>
  <c r="H36" i="1"/>
  <c r="N36" i="1" s="1"/>
  <c r="M35" i="1"/>
  <c r="H35" i="1"/>
  <c r="N35" i="1" s="1"/>
  <c r="M34" i="1"/>
  <c r="H34" i="1"/>
  <c r="N34" i="1" s="1"/>
  <c r="M33" i="1"/>
  <c r="H33" i="1"/>
  <c r="N33" i="1" s="1"/>
  <c r="M32" i="1"/>
  <c r="H32" i="1"/>
  <c r="N32" i="1" s="1"/>
  <c r="M31" i="1"/>
  <c r="H31" i="1"/>
  <c r="N31" i="1" s="1"/>
  <c r="M30" i="1"/>
  <c r="H30" i="1"/>
  <c r="N30" i="1" s="1"/>
  <c r="M29" i="1"/>
  <c r="H29" i="1"/>
  <c r="N29" i="1" s="1"/>
  <c r="M28" i="1"/>
  <c r="H28" i="1"/>
  <c r="N28" i="1" s="1"/>
  <c r="M27" i="1"/>
  <c r="O27" i="1" s="1"/>
  <c r="H27" i="1"/>
  <c r="N27" i="1" s="1"/>
  <c r="P27" i="1" s="1"/>
  <c r="P28" i="1" s="1"/>
  <c r="N25" i="1"/>
  <c r="M18" i="1"/>
  <c r="M25" i="1"/>
  <c r="H10" i="1"/>
  <c r="H11" i="1"/>
  <c r="H12" i="1"/>
  <c r="H13" i="1"/>
  <c r="H14" i="1"/>
  <c r="H15" i="1"/>
  <c r="H16" i="1"/>
  <c r="H17" i="1"/>
  <c r="H18" i="1"/>
  <c r="N18" i="1" s="1"/>
  <c r="H19" i="1"/>
  <c r="H20" i="1"/>
  <c r="H21" i="1"/>
  <c r="H22" i="1"/>
  <c r="H23" i="1"/>
  <c r="H24" i="1"/>
  <c r="H25" i="1"/>
  <c r="H26" i="1"/>
  <c r="H3" i="1"/>
  <c r="H4" i="1"/>
  <c r="H5" i="1"/>
  <c r="H6" i="1"/>
  <c r="H7" i="1"/>
  <c r="H8" i="1"/>
  <c r="H9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3" i="1"/>
  <c r="H2" i="1"/>
  <c r="S2" i="1"/>
  <c r="P29" i="1" l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O28" i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N26" i="1"/>
  <c r="M26" i="1"/>
  <c r="N24" i="1"/>
  <c r="M24" i="1"/>
  <c r="N23" i="1"/>
  <c r="M23" i="1"/>
  <c r="N22" i="1"/>
  <c r="M22" i="1"/>
  <c r="N21" i="1"/>
  <c r="M21" i="1"/>
  <c r="N20" i="1"/>
  <c r="M20" i="1"/>
  <c r="N19" i="1"/>
  <c r="M19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S3" i="1"/>
  <c r="N3" i="1"/>
  <c r="M3" i="1"/>
  <c r="N2" i="1"/>
  <c r="M2" i="1"/>
  <c r="O2" i="1" s="1"/>
  <c r="S4" i="1" l="1"/>
  <c r="S5" i="1" s="1"/>
  <c r="S6" i="1"/>
  <c r="S7" i="1" s="1"/>
  <c r="P2" i="1"/>
  <c r="P3" i="1" s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</calcChain>
</file>

<file path=xl/sharedStrings.xml><?xml version="1.0" encoding="utf-8"?>
<sst xmlns="http://schemas.openxmlformats.org/spreadsheetml/2006/main" count="634" uniqueCount="149">
  <si>
    <t>Data e Ora</t>
  </si>
  <si>
    <t>Giorno e Mese</t>
  </si>
  <si>
    <t>Bookmaker</t>
  </si>
  <si>
    <t>Partita</t>
  </si>
  <si>
    <t>Scommessa</t>
  </si>
  <si>
    <t>Importo Puntata</t>
  </si>
  <si>
    <t>Rendimento Atteso (%)</t>
  </si>
  <si>
    <t>Quota Punta</t>
  </si>
  <si>
    <t>Quota Mercato</t>
  </si>
  <si>
    <t>Abbinato</t>
  </si>
  <si>
    <t>Risultato</t>
  </si>
  <si>
    <t>Guadagno Reale</t>
  </si>
  <si>
    <t>Rendimento Atteso (€)</t>
  </si>
  <si>
    <t>Guadagno Reale Tot</t>
  </si>
  <si>
    <t>Guadagno Atteso Tot</t>
  </si>
  <si>
    <t>Numero Scommesse</t>
  </si>
  <si>
    <t>Importo Totale Puntato</t>
  </si>
  <si>
    <t>Guadagno Reale (€)</t>
  </si>
  <si>
    <t>Rendimento Reale (%)</t>
  </si>
  <si>
    <t>BETINASIA</t>
  </si>
  <si>
    <t>TORINO - UDINESE</t>
  </si>
  <si>
    <t>OVER 1,5</t>
  </si>
  <si>
    <t>Vinta</t>
  </si>
  <si>
    <t>Persa</t>
  </si>
  <si>
    <t>BET365</t>
  </si>
  <si>
    <t>BETIS - PORTO</t>
  </si>
  <si>
    <t>VINCITU</t>
  </si>
  <si>
    <t>GOL</t>
  </si>
  <si>
    <t>STANLEYBET</t>
  </si>
  <si>
    <t>BODO - DORTMUND</t>
  </si>
  <si>
    <t>UNDER 3,5</t>
  </si>
  <si>
    <t>ROMA - REAL MADRID</t>
  </si>
  <si>
    <t>SLOVAN BRATISLAVA - STOCCARDA</t>
  </si>
  <si>
    <t>UNDER 4,5</t>
  </si>
  <si>
    <t>Campionato</t>
  </si>
  <si>
    <t>ITALIA Serie A</t>
  </si>
  <si>
    <t>CHAMPIONS LEAGUE</t>
  </si>
  <si>
    <t>EUROPA LEAGUE</t>
  </si>
  <si>
    <t>FASTBET</t>
  </si>
  <si>
    <t>LECH - LEVERKUSEN</t>
  </si>
  <si>
    <t>CONFERENCE LEAGUE</t>
  </si>
  <si>
    <t>QUIGIOCO</t>
  </si>
  <si>
    <t>CRAIOVA - GETAFE</t>
  </si>
  <si>
    <t>SALISBURGO - MILAN</t>
  </si>
  <si>
    <t>1X</t>
  </si>
  <si>
    <t>LIONE - CRYSTAL PALACE</t>
  </si>
  <si>
    <t>CELJE - OMONIA</t>
  </si>
  <si>
    <t>UNDER 2,5</t>
  </si>
  <si>
    <t>MYLOTTEIRES</t>
  </si>
  <si>
    <t>JAGIELLONA - ARRARAT</t>
  </si>
  <si>
    <t>COPENAGHEN - BRAGA</t>
  </si>
  <si>
    <t>X2</t>
  </si>
  <si>
    <t>BETPOINT</t>
  </si>
  <si>
    <t>TWENTE - THUN</t>
  </si>
  <si>
    <t>OVER 3,5</t>
  </si>
  <si>
    <t>BRANN - LINCOLN</t>
  </si>
  <si>
    <t>MARSIGLIA - OLYMPIACOS</t>
  </si>
  <si>
    <t>HEFFENEIM - BESIKTAS</t>
  </si>
  <si>
    <t>WINBET</t>
  </si>
  <si>
    <t>CELTA VIGO - JUVENTUS</t>
  </si>
  <si>
    <t>BOURMOUNT - STRUN GANZ</t>
  </si>
  <si>
    <t>NO GOL</t>
  </si>
  <si>
    <t>NIJMEGEN - LEVSKI</t>
  </si>
  <si>
    <t>OVER 2,5</t>
  </si>
  <si>
    <t>CORNER</t>
  </si>
  <si>
    <t xml:space="preserve">CARTELLINI </t>
  </si>
  <si>
    <t>HCP</t>
  </si>
  <si>
    <t>OLANDA Eredivise</t>
  </si>
  <si>
    <t>HEERENVEN - EXCLESIOR</t>
  </si>
  <si>
    <t>GERMANIA Budensliga</t>
  </si>
  <si>
    <t>FRANCOFORTE - COLONIA</t>
  </si>
  <si>
    <t>FRANCIA Ligue 1</t>
  </si>
  <si>
    <t>LEMANS - TOLOSA</t>
  </si>
  <si>
    <t>SPAGNA Liga</t>
  </si>
  <si>
    <t>LEOVEGAS</t>
  </si>
  <si>
    <t>CORUNA - LEVANTE</t>
  </si>
  <si>
    <t>INGHILTERRA Premier League</t>
  </si>
  <si>
    <t>EVERTON - CHELSEA</t>
  </si>
  <si>
    <t>ESPANIOL - ATLETICO MADRID</t>
  </si>
  <si>
    <t>VENEZIA - NAPOLI</t>
  </si>
  <si>
    <t>WINMAX</t>
  </si>
  <si>
    <t>UNION BERLIN - DORTMUND</t>
  </si>
  <si>
    <t>ADMIRAL</t>
  </si>
  <si>
    <t>BREMA - PADERBORN</t>
  </si>
  <si>
    <t>SCHALKE - MAGONZA</t>
  </si>
  <si>
    <t>FHULAM - HULL</t>
  </si>
  <si>
    <t>ROMA - GENOA</t>
  </si>
  <si>
    <t>JUVENTUS - LAZIO</t>
  </si>
  <si>
    <t>WILLIAMHILL</t>
  </si>
  <si>
    <t>BRUGHTON - CRYSTAL PALACE</t>
  </si>
  <si>
    <t>EUROBET</t>
  </si>
  <si>
    <t>LIONE - NIZZA</t>
  </si>
  <si>
    <t>MONEGBLACH - HOFFENAIN</t>
  </si>
  <si>
    <t>MILAN - ATALANTA</t>
  </si>
  <si>
    <t>FIORENTINA - COMO</t>
  </si>
  <si>
    <t>PSG - BARCELLONA</t>
  </si>
  <si>
    <t>LIVERPOOL - VILLAREAL</t>
  </si>
  <si>
    <t>COMO - MAN UTD</t>
  </si>
  <si>
    <t>LILLE - GALATASARAY</t>
  </si>
  <si>
    <t>BESIKTAS - CRYSTAL PALACE</t>
  </si>
  <si>
    <t>MONACO - FRIBURGO</t>
  </si>
  <si>
    <t>AJAX - ATALANTA</t>
  </si>
  <si>
    <t>TURCHIA Super Lig</t>
  </si>
  <si>
    <t>Alanyaspor - Kocaelispor</t>
  </si>
  <si>
    <t> Ipswich - Nottingham</t>
  </si>
  <si>
    <t> Brest - Nizza</t>
  </si>
  <si>
    <t>Lazio - Parma</t>
  </si>
  <si>
    <t> Augusta - Union Berlino </t>
  </si>
  <si>
    <t>DAZNBET</t>
  </si>
  <si>
    <t>Alverca - Arouca</t>
  </si>
  <si>
    <t>PORTOGALLO Primeira Liga</t>
  </si>
  <si>
    <t> Napoli - Roma</t>
  </si>
  <si>
    <t>Estrela - Casa Pia</t>
  </si>
  <si>
    <t>  Cagliari - Bologna</t>
  </si>
  <si>
    <t>Dortmund - Francoforte</t>
  </si>
  <si>
    <t>Chelsea - Tottenham</t>
  </si>
  <si>
    <t xml:space="preserve">  Arsenal - Everton</t>
  </si>
  <si>
    <t> Lazio - Parma </t>
  </si>
  <si>
    <t>Lens - Paris FC</t>
  </si>
  <si>
    <t> Como - Sassuolo </t>
  </si>
  <si>
    <t>Augusta - Union Berlino</t>
  </si>
  <si>
    <t>SISAL</t>
  </si>
  <si>
    <t>  Chelsea - Tottenham</t>
  </si>
  <si>
    <t> Liverpool - Brighton</t>
  </si>
  <si>
    <t> Real Sociedad - Levante</t>
  </si>
  <si>
    <t> Ath. Bilbao - Getafe</t>
  </si>
  <si>
    <t>Alkmaar - Twente</t>
  </si>
  <si>
    <t>Sparta Rotterdam - Ajax</t>
  </si>
  <si>
    <t> Inter - Fiorentina</t>
  </si>
  <si>
    <t>Friburgo - Bayern</t>
  </si>
  <si>
    <t>Estoril - Moreirense</t>
  </si>
  <si>
    <t>Crystal Palace - Newcastle</t>
  </si>
  <si>
    <t> Rennes - Strasburgo</t>
  </si>
  <si>
    <t>BETSSON</t>
  </si>
  <si>
    <t>Athletic Club vs Getafe</t>
  </si>
  <si>
    <t>Angers - Lorient</t>
  </si>
  <si>
    <t>Udinese vs AC Milan</t>
  </si>
  <si>
    <t> Manchester Utd - Bournemouth</t>
  </si>
  <si>
    <t> Sunderland - Leeds</t>
  </si>
  <si>
    <t> Barcellona - Real Madrid</t>
  </si>
  <si>
    <t> Rennes - Strasburgo </t>
  </si>
  <si>
    <t>  Sunderland - Leeds</t>
  </si>
  <si>
    <t> Hoffenheim - Leverkusen</t>
  </si>
  <si>
    <t> Monaco - Lilla</t>
  </si>
  <si>
    <t>  PSG - Lione</t>
  </si>
  <si>
    <t> Siviglia - Osasuna</t>
  </si>
  <si>
    <t> Besiktas - Basaksehir</t>
  </si>
  <si>
    <t>Galatasaray - Fenerbahce</t>
  </si>
  <si>
    <t>  Santa Clara - Benfica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</si>
</sst>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:mm:ss"/>
    <numFmt numFmtId="165" formatCode="[$€]#,##0"/>
    <numFmt numFmtId="166" formatCode="[$€]#,##0.00"/>
    <numFmt numFmtId="167" formatCode="m\-d"/>
  </numFmts>
  <fonts count="7">
    <font>
      <sz val="10"/>
      <color rgb="FF000000"/>
      <name val="Arial"/>
      <charset val="1"/>
    </font>
    <font>
      <b/>
      <sz val="10"/>
      <color rgb="FFFFFFFF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rgb="FF444444"/>
      <name val="Inherit"/>
      <charset val="1"/>
    </font>
    <font>
      <sz val="10"/>
      <name val="Arial"/>
      <family val="2"/>
      <charset val="1"/>
    </font>
    <font>
      <sz val="8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4A86E8"/>
        <bgColor rgb="FF4285F4"/>
      </patternFill>
    </fill>
    <fill>
      <patternFill patternType="solid">
        <fgColor theme="0"/>
        <bgColor rgb="FFEA4335"/>
      </patternFill>
    </fill>
    <fill>
      <patternFill patternType="solid">
        <fgColor theme="0"/>
        <bgColor rgb="FF00808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A86E8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EA4335"/>
      <rgbColor rgb="FF595959"/>
      <rgbColor rgb="FF969696"/>
      <rgbColor rgb="FF003366"/>
      <rgbColor rgb="FF00B050"/>
      <rgbColor rgb="FF003300"/>
      <rgbColor rgb="FF444444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'lista scommesse'!$O$1</c:f>
              <c:strCache>
                <c:ptCount val="1"/>
                <c:pt idx="0">
                  <c:v>Guadagno Reale Tot</c:v>
                </c:pt>
              </c:strCache>
            </c:strRef>
          </c:tx>
          <c:spPr>
            <a:ln w="22320" cap="rnd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'lista scommesse'!$B:$B</c:f>
              <c:strCache>
                <c:ptCount val="126"/>
                <c:pt idx="0">
                  <c:v>Giorno e Mese</c:v>
                </c:pt>
                <c:pt idx="1">
                  <c:v>2026-10-12 0:00:00</c:v>
                </c:pt>
                <c:pt idx="2">
                  <c:v>2026-10-11 0:00:00</c:v>
                </c:pt>
                <c:pt idx="3">
                  <c:v>2026-10-14 0:00:00</c:v>
                </c:pt>
                <c:pt idx="4">
                  <c:v>2026-10-14 0:00:00</c:v>
                </c:pt>
                <c:pt idx="5">
                  <c:v>2026-10-14 0:00:00</c:v>
                </c:pt>
                <c:pt idx="6">
                  <c:v>2026-10-14 0:00:00</c:v>
                </c:pt>
                <c:pt idx="7">
                  <c:v>2026-10-14 0:00:00</c:v>
                </c:pt>
                <c:pt idx="8">
                  <c:v>2026-10-15 0:00:00</c:v>
                </c:pt>
                <c:pt idx="9">
                  <c:v>2026-10-15 0:00:00</c:v>
                </c:pt>
                <c:pt idx="10">
                  <c:v>2026-10-15 0:00:00</c:v>
                </c:pt>
                <c:pt idx="11">
                  <c:v>2026-10-15 0:00:00</c:v>
                </c:pt>
                <c:pt idx="12">
                  <c:v>2026-10-15 0:00:00</c:v>
                </c:pt>
                <c:pt idx="13">
                  <c:v>2026-10-15 0:00:00</c:v>
                </c:pt>
                <c:pt idx="14">
                  <c:v>2026-10-15 0:00:00</c:v>
                </c:pt>
                <c:pt idx="15">
                  <c:v>2026-10-15 0:00:00</c:v>
                </c:pt>
                <c:pt idx="16">
                  <c:v>2026-10-15 0:00:00</c:v>
                </c:pt>
                <c:pt idx="17">
                  <c:v>2026-10-15 0:00:00</c:v>
                </c:pt>
                <c:pt idx="18">
                  <c:v>2026-10-15 0:00:00</c:v>
                </c:pt>
                <c:pt idx="19">
                  <c:v>2026-10-15 0:00:00</c:v>
                </c:pt>
                <c:pt idx="20">
                  <c:v>2026-10-15 0:00:00</c:v>
                </c:pt>
                <c:pt idx="21">
                  <c:v>2026-10-15 0:00:00</c:v>
                </c:pt>
                <c:pt idx="22">
                  <c:v>2026-10-15 0:00:00</c:v>
                </c:pt>
                <c:pt idx="23">
                  <c:v>2026-10-15 0:00:00</c:v>
                </c:pt>
                <c:pt idx="24">
                  <c:v>2026-10-15 0:00:00</c:v>
                </c:pt>
                <c:pt idx="25">
                  <c:v>2026-10-15 0:00:00</c:v>
                </c:pt>
                <c:pt idx="26">
                  <c:v>2026-10-16 0:00:00</c:v>
                </c:pt>
                <c:pt idx="27">
                  <c:v>2026-10-16 0:00:00</c:v>
                </c:pt>
                <c:pt idx="28">
                  <c:v>2026-10-16 0:00:00</c:v>
                </c:pt>
                <c:pt idx="29">
                  <c:v>2026-10-16 0:00:00</c:v>
                </c:pt>
                <c:pt idx="30">
                  <c:v>2026-10-16 0:00:00</c:v>
                </c:pt>
                <c:pt idx="31">
                  <c:v>2026-10-16 0:00:00</c:v>
                </c:pt>
                <c:pt idx="32">
                  <c:v>2026-10-16 0:00:00</c:v>
                </c:pt>
                <c:pt idx="33">
                  <c:v>2026-10-16 0:00:00</c:v>
                </c:pt>
                <c:pt idx="34">
                  <c:v>2026-10-17 0:00:00</c:v>
                </c:pt>
                <c:pt idx="35">
                  <c:v>2026-10-17 0:00:00</c:v>
                </c:pt>
                <c:pt idx="36">
                  <c:v>2026-10-17 0:00:00</c:v>
                </c:pt>
                <c:pt idx="37">
                  <c:v>2026-10-17 0:00:00</c:v>
                </c:pt>
                <c:pt idx="38">
                  <c:v>2026-10-17 0:00:00</c:v>
                </c:pt>
                <c:pt idx="39">
                  <c:v>2026-10-17 0:00:00</c:v>
                </c:pt>
                <c:pt idx="40">
                  <c:v>2026-10-17 0:00:00</c:v>
                </c:pt>
                <c:pt idx="41">
                  <c:v>2026-10-17 0:00:00</c:v>
                </c:pt>
                <c:pt idx="42">
                  <c:v>2026-10-17 0:00:00</c:v>
                </c:pt>
                <c:pt idx="43">
                  <c:v>2026-10-17 0:00:00</c:v>
                </c:pt>
                <c:pt idx="44">
                  <c:v>2026-10-17 0:00:00</c:v>
                </c:pt>
                <c:pt idx="45">
                  <c:v>2026-10-18 0:00:00</c:v>
                </c:pt>
                <c:pt idx="46">
                  <c:v>2026-10-18 0:00:00</c:v>
                </c:pt>
                <c:pt idx="47">
                  <c:v>2026-10-18 0:00:00</c:v>
                </c:pt>
                <c:pt idx="48">
                  <c:v>2026-10-18 0:00:00</c:v>
                </c:pt>
                <c:pt idx="49">
                  <c:v>2026-10-18 0:00:00</c:v>
                </c:pt>
                <c:pt idx="50">
                  <c:v>2026-10-18 0:00:00</c:v>
                </c:pt>
                <c:pt idx="51">
                  <c:v>2026-10-18 0:00:00</c:v>
                </c:pt>
                <c:pt idx="52">
                  <c:v>2026-10-18 0:00:00</c:v>
                </c:pt>
                <c:pt idx="53">
                  <c:v>2026-10-18 0:00:00</c:v>
                </c:pt>
                <c:pt idx="54">
                  <c:v>2026-10-18 0:00:00</c:v>
                </c:pt>
                <c:pt idx="55">
                  <c:v>2026-10-18 0:00:00</c:v>
                </c:pt>
                <c:pt idx="56">
                  <c:v>2026-10-18 0:00:00</c:v>
                </c:pt>
                <c:pt idx="57">
                  <c:v>2026-10-20 0:00:00</c:v>
                </c:pt>
                <c:pt idx="58">
                  <c:v>2026-10-20 0:00:00</c:v>
                </c:pt>
                <c:pt idx="59">
                  <c:v>2026-10-21 0:00:00</c:v>
                </c:pt>
                <c:pt idx="60">
                  <c:v>2026-10-21 0:00:00</c:v>
                </c:pt>
                <c:pt idx="61">
                  <c:v>2026-10-22 0:00:00</c:v>
                </c:pt>
                <c:pt idx="62">
                  <c:v>2026-10-22 0:00:00</c:v>
                </c:pt>
                <c:pt idx="63">
                  <c:v>2026-10-22 0:00:00</c:v>
                </c:pt>
                <c:pt idx="64">
                  <c:v>2026-10-23 0:00:00</c:v>
                </c:pt>
                <c:pt idx="65">
                  <c:v>2026-10-23 0:00:00</c:v>
                </c:pt>
                <c:pt idx="66">
                  <c:v>2026-10-23 0:00:00</c:v>
                </c:pt>
                <c:pt idx="67">
                  <c:v>2026-10-23 0:00:00</c:v>
                </c:pt>
                <c:pt idx="68">
                  <c:v>2026-10-23 0:00:00</c:v>
                </c:pt>
                <c:pt idx="69">
                  <c:v>2026-10-23 0:00:00</c:v>
                </c:pt>
                <c:pt idx="70">
                  <c:v>2026-10-24 0:00:00</c:v>
                </c:pt>
                <c:pt idx="71">
                  <c:v>2026-10-24 0:00:00</c:v>
                </c:pt>
                <c:pt idx="72">
                  <c:v>2026-10-24 0:00:00</c:v>
                </c:pt>
                <c:pt idx="73">
                  <c:v>2026-10-24 0:00:00</c:v>
                </c:pt>
                <c:pt idx="74">
                  <c:v>2026-10-24 0:00:00</c:v>
                </c:pt>
                <c:pt idx="75">
                  <c:v>2026-10-24 0:00:00</c:v>
                </c:pt>
                <c:pt idx="76">
                  <c:v>2026-10-24 0:00:00</c:v>
                </c:pt>
                <c:pt idx="77">
                  <c:v>2026-10-24 0:00:00</c:v>
                </c:pt>
                <c:pt idx="78">
                  <c:v>2026-10-24 0:00:00</c:v>
                </c:pt>
                <c:pt idx="79">
                  <c:v>2026-10-24 0:00:00</c:v>
                </c:pt>
                <c:pt idx="80">
                  <c:v>2026-10-24 0:00:00</c:v>
                </c:pt>
                <c:pt idx="81">
                  <c:v>2026-10-24 0:00:00</c:v>
                </c:pt>
                <c:pt idx="82">
                  <c:v>2026-10-24 0:00:00</c:v>
                </c:pt>
                <c:pt idx="83">
                  <c:v>2026-10-24 0:00:00</c:v>
                </c:pt>
                <c:pt idx="84">
                  <c:v>2026-10-24 0:00:00</c:v>
                </c:pt>
                <c:pt idx="85">
                  <c:v>2026-10-24 0:00:00</c:v>
                </c:pt>
                <c:pt idx="86">
                  <c:v>2026-10-24 0:00:00</c:v>
                </c:pt>
                <c:pt idx="87">
                  <c:v>2026-10-24 0:00:00</c:v>
                </c:pt>
                <c:pt idx="88">
                  <c:v>2026-10-24 0:00:00</c:v>
                </c:pt>
                <c:pt idx="89">
                  <c:v>2026-10-24 0:00:00</c:v>
                </c:pt>
                <c:pt idx="90">
                  <c:v>2026-10-24 0:00:00</c:v>
                </c:pt>
                <c:pt idx="91">
                  <c:v>2026-10-24 0:00:00</c:v>
                </c:pt>
                <c:pt idx="92">
                  <c:v>2026-10-25 0:00:00</c:v>
                </c:pt>
                <c:pt idx="93">
                  <c:v>2026-10-25 0:00:00</c:v>
                </c:pt>
                <c:pt idx="94">
                  <c:v>2026-10-25 0:00:00</c:v>
                </c:pt>
                <c:pt idx="95">
                  <c:v>2026-10-25 0:00:00</c:v>
                </c:pt>
                <c:pt idx="96">
                  <c:v>2026-10-25 0:00:00</c:v>
                </c:pt>
                <c:pt idx="97">
                  <c:v>2026-10-25 0:00:00</c:v>
                </c:pt>
                <c:pt idx="98">
                  <c:v>2026-10-25 0:00:00</c:v>
                </c:pt>
                <c:pt idx="99">
                  <c:v>2026-10-25 0:00:00</c:v>
                </c:pt>
                <c:pt idx="100">
                  <c:v>2026-10-25 0:00:00</c:v>
                </c:pt>
                <c:pt idx="101">
                  <c:v>2026-10-25 0:00:00</c:v>
                </c:pt>
                <c:pt idx="102">
                  <c:v>2026-10-25 0:00:00</c:v>
                </c:pt>
                <c:pt idx="103">
                  <c:v>2026-10-25 0:00:00</c:v>
                </c:pt>
                <c:pt idx="104">
                  <c:v>2026-10-25 0:00:00</c:v>
                </c:pt>
                <c:pt idx="105">
                  <c:v>2026-10-25 0:00:00</c:v>
                </c:pt>
                <c:pt idx="106">
                  <c:v>2026-10-25 0:00:00</c:v>
                </c:pt>
                <c:pt idx="107">
                  <c:v>2026-10-25 0:00:00</c:v>
                </c:pt>
                <c:pt idx="108">
                  <c:v>2026-10-25 0:00:00</c:v>
                </c:pt>
                <c:pt idx="109">
                  <c:v>2026-10-25 0:00:00</c:v>
                </c:pt>
                <c:pt idx="110">
                  <c:v>2026-10-25 0:00:00</c:v>
                </c:pt>
                <c:pt idx="111">
                  <c:v>2026-10-25 0:00:00</c:v>
                </c:pt>
                <c:pt idx="112">
                  <c:v>2026-10-25 0:00:00</c:v>
                </c:pt>
                <c:pt idx="113">
                  <c:v>2026-10-25 0:00:00</c:v>
                </c:pt>
                <c:pt idx="114">
                  <c:v>2026-10-25 0:00:00</c:v>
                </c:pt>
                <c:pt idx="115">
                  <c:v>2026-10-25 0:00:00</c:v>
                </c:pt>
                <c:pt idx="116">
                  <c:v>2026-10-25 0:00:00</c:v>
                </c:pt>
                <c:pt idx="117">
                  <c:v>2026-10-25 0:00:00</c:v>
                </c:pt>
                <c:pt idx="118">
                  <c:v>2026-10-25 0:00:00</c:v>
                </c:pt>
                <c:pt idx="119">
                  <c:v>2026-10-26 0:00:00</c:v>
                </c:pt>
                <c:pt idx="120">
                  <c:v>2026-10-26 0:00:00</c:v>
                </c:pt>
                <c:pt idx="121">
                  <c:v>2026-10-26 0:00:00</c:v>
                </c:pt>
                <c:pt idx="122">
                  <c:v>2026-10-26 0:00:00</c:v>
                </c:pt>
                <c:pt idx="123">
                  <c:v>2026-10-26 0:00:00</c:v>
                </c:pt>
                <c:pt idx="124">
                  <c:v>2026-10-26 0:00:00</c:v>
                </c:pt>
                <c:pt idx="125">
                  <c:v>2026-10-26 0:00:00</c:v>
                </c:pt>
              </c:strCache>
            </c:strRef>
          </c:cat>
          <c:val>
            <c:numRef>
              <c:f>'lista scommesse'!$O$2:$O$26</c:f>
              <c:numCache>
                <c:formatCode>[$€]#,##0.00</c:formatCode>
                <c:ptCount val="25"/>
                <c:pt idx="0">
                  <c:v>2.2750000000000004</c:v>
                </c:pt>
                <c:pt idx="1">
                  <c:v>-2.7249999999999996</c:v>
                </c:pt>
                <c:pt idx="2">
                  <c:v>0.92500000000000027</c:v>
                </c:pt>
                <c:pt idx="3">
                  <c:v>3.9250000000000007</c:v>
                </c:pt>
                <c:pt idx="4">
                  <c:v>8.4750000000000014</c:v>
                </c:pt>
                <c:pt idx="5">
                  <c:v>10.675000000000001</c:v>
                </c:pt>
                <c:pt idx="6">
                  <c:v>12.775</c:v>
                </c:pt>
                <c:pt idx="7">
                  <c:v>7.7750000000000004</c:v>
                </c:pt>
                <c:pt idx="8">
                  <c:v>10.175000000000001</c:v>
                </c:pt>
                <c:pt idx="9">
                  <c:v>5.1750000000000007</c:v>
                </c:pt>
                <c:pt idx="10">
                  <c:v>7.7750000000000004</c:v>
                </c:pt>
                <c:pt idx="11">
                  <c:v>2.7750000000000004</c:v>
                </c:pt>
                <c:pt idx="12">
                  <c:v>5.0750000000000002</c:v>
                </c:pt>
                <c:pt idx="13">
                  <c:v>7.5000000000000178E-2</c:v>
                </c:pt>
                <c:pt idx="14">
                  <c:v>-4.9249999999999998</c:v>
                </c:pt>
                <c:pt idx="15">
                  <c:v>-3.1749999999999994</c:v>
                </c:pt>
                <c:pt idx="16">
                  <c:v>-8.1749999999999989</c:v>
                </c:pt>
                <c:pt idx="17">
                  <c:v>-7.2249999999999996</c:v>
                </c:pt>
                <c:pt idx="18">
                  <c:v>-4.1249999999999991</c:v>
                </c:pt>
                <c:pt idx="19">
                  <c:v>-2.3749999999999987</c:v>
                </c:pt>
                <c:pt idx="20">
                  <c:v>-7.3749999999999982</c:v>
                </c:pt>
                <c:pt idx="21">
                  <c:v>-12.374999999999998</c:v>
                </c:pt>
                <c:pt idx="22">
                  <c:v>-10.624999999999998</c:v>
                </c:pt>
                <c:pt idx="23">
                  <c:v>-6.0749999999999984</c:v>
                </c:pt>
                <c:pt idx="24">
                  <c:v>-11.074999999999999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32-46AD-84DC-5554D84D1CD7}"/>
            </c:ext>
          </c:extLst>
        </c:ser>
        <c:ser>
          <c:idx val="1"/>
          <c:order val="1"/>
          <c:tx>
            <c:strRef>
              <c:f>'lista scommesse'!$P$1</c:f>
              <c:strCache>
                <c:ptCount val="1"/>
                <c:pt idx="0">
                  <c:v>Guadagno Atteso Tot</c:v>
                </c:pt>
              </c:strCache>
            </c:strRef>
          </c:tx>
          <c:spPr>
            <a:ln w="22320" cap="rnd">
              <a:solidFill>
                <a:srgbClr val="EA433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'lista scommesse'!$B:$B</c:f>
              <c:strCache>
                <c:ptCount val="126"/>
                <c:pt idx="0">
                  <c:v>Giorno e Mese</c:v>
                </c:pt>
                <c:pt idx="1">
                  <c:v>2026-10-12 0:00:00</c:v>
                </c:pt>
                <c:pt idx="2">
                  <c:v>2026-10-11 0:00:00</c:v>
                </c:pt>
                <c:pt idx="3">
                  <c:v>2026-10-14 0:00:00</c:v>
                </c:pt>
                <c:pt idx="4">
                  <c:v>2026-10-14 0:00:00</c:v>
                </c:pt>
                <c:pt idx="5">
                  <c:v>2026-10-14 0:00:00</c:v>
                </c:pt>
                <c:pt idx="6">
                  <c:v>2026-10-14 0:00:00</c:v>
                </c:pt>
                <c:pt idx="7">
                  <c:v>2026-10-14 0:00:00</c:v>
                </c:pt>
                <c:pt idx="8">
                  <c:v>2026-10-15 0:00:00</c:v>
                </c:pt>
                <c:pt idx="9">
                  <c:v>2026-10-15 0:00:00</c:v>
                </c:pt>
                <c:pt idx="10">
                  <c:v>2026-10-15 0:00:00</c:v>
                </c:pt>
                <c:pt idx="11">
                  <c:v>2026-10-15 0:00:00</c:v>
                </c:pt>
                <c:pt idx="12">
                  <c:v>2026-10-15 0:00:00</c:v>
                </c:pt>
                <c:pt idx="13">
                  <c:v>2026-10-15 0:00:00</c:v>
                </c:pt>
                <c:pt idx="14">
                  <c:v>2026-10-15 0:00:00</c:v>
                </c:pt>
                <c:pt idx="15">
                  <c:v>2026-10-15 0:00:00</c:v>
                </c:pt>
                <c:pt idx="16">
                  <c:v>2026-10-15 0:00:00</c:v>
                </c:pt>
                <c:pt idx="17">
                  <c:v>2026-10-15 0:00:00</c:v>
                </c:pt>
                <c:pt idx="18">
                  <c:v>2026-10-15 0:00:00</c:v>
                </c:pt>
                <c:pt idx="19">
                  <c:v>2026-10-15 0:00:00</c:v>
                </c:pt>
                <c:pt idx="20">
                  <c:v>2026-10-15 0:00:00</c:v>
                </c:pt>
                <c:pt idx="21">
                  <c:v>2026-10-15 0:00:00</c:v>
                </c:pt>
                <c:pt idx="22">
                  <c:v>2026-10-15 0:00:00</c:v>
                </c:pt>
                <c:pt idx="23">
                  <c:v>2026-10-15 0:00:00</c:v>
                </c:pt>
                <c:pt idx="24">
                  <c:v>2026-10-15 0:00:00</c:v>
                </c:pt>
                <c:pt idx="25">
                  <c:v>2026-10-15 0:00:00</c:v>
                </c:pt>
                <c:pt idx="26">
                  <c:v>2026-10-16 0:00:00</c:v>
                </c:pt>
                <c:pt idx="27">
                  <c:v>2026-10-16 0:00:00</c:v>
                </c:pt>
                <c:pt idx="28">
                  <c:v>2026-10-16 0:00:00</c:v>
                </c:pt>
                <c:pt idx="29">
                  <c:v>2026-10-16 0:00:00</c:v>
                </c:pt>
                <c:pt idx="30">
                  <c:v>2026-10-16 0:00:00</c:v>
                </c:pt>
                <c:pt idx="31">
                  <c:v>2026-10-16 0:00:00</c:v>
                </c:pt>
                <c:pt idx="32">
                  <c:v>2026-10-16 0:00:00</c:v>
                </c:pt>
                <c:pt idx="33">
                  <c:v>2026-10-16 0:00:00</c:v>
                </c:pt>
                <c:pt idx="34">
                  <c:v>2026-10-17 0:00:00</c:v>
                </c:pt>
                <c:pt idx="35">
                  <c:v>2026-10-17 0:00:00</c:v>
                </c:pt>
                <c:pt idx="36">
                  <c:v>2026-10-17 0:00:00</c:v>
                </c:pt>
                <c:pt idx="37">
                  <c:v>2026-10-17 0:00:00</c:v>
                </c:pt>
                <c:pt idx="38">
                  <c:v>2026-10-17 0:00:00</c:v>
                </c:pt>
                <c:pt idx="39">
                  <c:v>2026-10-17 0:00:00</c:v>
                </c:pt>
                <c:pt idx="40">
                  <c:v>2026-10-17 0:00:00</c:v>
                </c:pt>
                <c:pt idx="41">
                  <c:v>2026-10-17 0:00:00</c:v>
                </c:pt>
                <c:pt idx="42">
                  <c:v>2026-10-17 0:00:00</c:v>
                </c:pt>
                <c:pt idx="43">
                  <c:v>2026-10-17 0:00:00</c:v>
                </c:pt>
                <c:pt idx="44">
                  <c:v>2026-10-17 0:00:00</c:v>
                </c:pt>
                <c:pt idx="45">
                  <c:v>2026-10-18 0:00:00</c:v>
                </c:pt>
                <c:pt idx="46">
                  <c:v>2026-10-18 0:00:00</c:v>
                </c:pt>
                <c:pt idx="47">
                  <c:v>2026-10-18 0:00:00</c:v>
                </c:pt>
                <c:pt idx="48">
                  <c:v>2026-10-18 0:00:00</c:v>
                </c:pt>
                <c:pt idx="49">
                  <c:v>2026-10-18 0:00:00</c:v>
                </c:pt>
                <c:pt idx="50">
                  <c:v>2026-10-18 0:00:00</c:v>
                </c:pt>
                <c:pt idx="51">
                  <c:v>2026-10-18 0:00:00</c:v>
                </c:pt>
                <c:pt idx="52">
                  <c:v>2026-10-18 0:00:00</c:v>
                </c:pt>
                <c:pt idx="53">
                  <c:v>2026-10-18 0:00:00</c:v>
                </c:pt>
                <c:pt idx="54">
                  <c:v>2026-10-18 0:00:00</c:v>
                </c:pt>
                <c:pt idx="55">
                  <c:v>2026-10-18 0:00:00</c:v>
                </c:pt>
                <c:pt idx="56">
                  <c:v>2026-10-18 0:00:00</c:v>
                </c:pt>
                <c:pt idx="57">
                  <c:v>2026-10-20 0:00:00</c:v>
                </c:pt>
                <c:pt idx="58">
                  <c:v>2026-10-20 0:00:00</c:v>
                </c:pt>
                <c:pt idx="59">
                  <c:v>2026-10-21 0:00:00</c:v>
                </c:pt>
                <c:pt idx="60">
                  <c:v>2026-10-21 0:00:00</c:v>
                </c:pt>
                <c:pt idx="61">
                  <c:v>2026-10-22 0:00:00</c:v>
                </c:pt>
                <c:pt idx="62">
                  <c:v>2026-10-22 0:00:00</c:v>
                </c:pt>
                <c:pt idx="63">
                  <c:v>2026-10-22 0:00:00</c:v>
                </c:pt>
                <c:pt idx="64">
                  <c:v>2026-10-23 0:00:00</c:v>
                </c:pt>
                <c:pt idx="65">
                  <c:v>2026-10-23 0:00:00</c:v>
                </c:pt>
                <c:pt idx="66">
                  <c:v>2026-10-23 0:00:00</c:v>
                </c:pt>
                <c:pt idx="67">
                  <c:v>2026-10-23 0:00:00</c:v>
                </c:pt>
                <c:pt idx="68">
                  <c:v>2026-10-23 0:00:00</c:v>
                </c:pt>
                <c:pt idx="69">
                  <c:v>2026-10-23 0:00:00</c:v>
                </c:pt>
                <c:pt idx="70">
                  <c:v>2026-10-24 0:00:00</c:v>
                </c:pt>
                <c:pt idx="71">
                  <c:v>2026-10-24 0:00:00</c:v>
                </c:pt>
                <c:pt idx="72">
                  <c:v>2026-10-24 0:00:00</c:v>
                </c:pt>
                <c:pt idx="73">
                  <c:v>2026-10-24 0:00:00</c:v>
                </c:pt>
                <c:pt idx="74">
                  <c:v>2026-10-24 0:00:00</c:v>
                </c:pt>
                <c:pt idx="75">
                  <c:v>2026-10-24 0:00:00</c:v>
                </c:pt>
                <c:pt idx="76">
                  <c:v>2026-10-24 0:00:00</c:v>
                </c:pt>
                <c:pt idx="77">
                  <c:v>2026-10-24 0:00:00</c:v>
                </c:pt>
                <c:pt idx="78">
                  <c:v>2026-10-24 0:00:00</c:v>
                </c:pt>
                <c:pt idx="79">
                  <c:v>2026-10-24 0:00:00</c:v>
                </c:pt>
                <c:pt idx="80">
                  <c:v>2026-10-24 0:00:00</c:v>
                </c:pt>
                <c:pt idx="81">
                  <c:v>2026-10-24 0:00:00</c:v>
                </c:pt>
                <c:pt idx="82">
                  <c:v>2026-10-24 0:00:00</c:v>
                </c:pt>
                <c:pt idx="83">
                  <c:v>2026-10-24 0:00:00</c:v>
                </c:pt>
                <c:pt idx="84">
                  <c:v>2026-10-24 0:00:00</c:v>
                </c:pt>
                <c:pt idx="85">
                  <c:v>2026-10-24 0:00:00</c:v>
                </c:pt>
                <c:pt idx="86">
                  <c:v>2026-10-24 0:00:00</c:v>
                </c:pt>
                <c:pt idx="87">
                  <c:v>2026-10-24 0:00:00</c:v>
                </c:pt>
                <c:pt idx="88">
                  <c:v>2026-10-24 0:00:00</c:v>
                </c:pt>
                <c:pt idx="89">
                  <c:v>2026-10-24 0:00:00</c:v>
                </c:pt>
                <c:pt idx="90">
                  <c:v>2026-10-24 0:00:00</c:v>
                </c:pt>
                <c:pt idx="91">
                  <c:v>2026-10-24 0:00:00</c:v>
                </c:pt>
                <c:pt idx="92">
                  <c:v>2026-10-25 0:00:00</c:v>
                </c:pt>
                <c:pt idx="93">
                  <c:v>2026-10-25 0:00:00</c:v>
                </c:pt>
                <c:pt idx="94">
                  <c:v>2026-10-25 0:00:00</c:v>
                </c:pt>
                <c:pt idx="95">
                  <c:v>2026-10-25 0:00:00</c:v>
                </c:pt>
                <c:pt idx="96">
                  <c:v>2026-10-25 0:00:00</c:v>
                </c:pt>
                <c:pt idx="97">
                  <c:v>2026-10-25 0:00:00</c:v>
                </c:pt>
                <c:pt idx="98">
                  <c:v>2026-10-25 0:00:00</c:v>
                </c:pt>
                <c:pt idx="99">
                  <c:v>2026-10-25 0:00:00</c:v>
                </c:pt>
                <c:pt idx="100">
                  <c:v>2026-10-25 0:00:00</c:v>
                </c:pt>
                <c:pt idx="101">
                  <c:v>2026-10-25 0:00:00</c:v>
                </c:pt>
                <c:pt idx="102">
                  <c:v>2026-10-25 0:00:00</c:v>
                </c:pt>
                <c:pt idx="103">
                  <c:v>2026-10-25 0:00:00</c:v>
                </c:pt>
                <c:pt idx="104">
                  <c:v>2026-10-25 0:00:00</c:v>
                </c:pt>
                <c:pt idx="105">
                  <c:v>2026-10-25 0:00:00</c:v>
                </c:pt>
                <c:pt idx="106">
                  <c:v>2026-10-25 0:00:00</c:v>
                </c:pt>
                <c:pt idx="107">
                  <c:v>2026-10-25 0:00:00</c:v>
                </c:pt>
                <c:pt idx="108">
                  <c:v>2026-10-25 0:00:00</c:v>
                </c:pt>
                <c:pt idx="109">
                  <c:v>2026-10-25 0:00:00</c:v>
                </c:pt>
                <c:pt idx="110">
                  <c:v>2026-10-25 0:00:00</c:v>
                </c:pt>
                <c:pt idx="111">
                  <c:v>2026-10-25 0:00:00</c:v>
                </c:pt>
                <c:pt idx="112">
                  <c:v>2026-10-25 0:00:00</c:v>
                </c:pt>
                <c:pt idx="113">
                  <c:v>2026-10-25 0:00:00</c:v>
                </c:pt>
                <c:pt idx="114">
                  <c:v>2026-10-25 0:00:00</c:v>
                </c:pt>
                <c:pt idx="115">
                  <c:v>2026-10-25 0:00:00</c:v>
                </c:pt>
                <c:pt idx="116">
                  <c:v>2026-10-25 0:00:00</c:v>
                </c:pt>
                <c:pt idx="117">
                  <c:v>2026-10-25 0:00:00</c:v>
                </c:pt>
                <c:pt idx="118">
                  <c:v>2026-10-25 0:00:00</c:v>
                </c:pt>
                <c:pt idx="119">
                  <c:v>2026-10-26 0:00:00</c:v>
                </c:pt>
                <c:pt idx="120">
                  <c:v>2026-10-26 0:00:00</c:v>
                </c:pt>
                <c:pt idx="121">
                  <c:v>2026-10-26 0:00:00</c:v>
                </c:pt>
                <c:pt idx="122">
                  <c:v>2026-10-26 0:00:00</c:v>
                </c:pt>
                <c:pt idx="123">
                  <c:v>2026-10-26 0:00:00</c:v>
                </c:pt>
                <c:pt idx="124">
                  <c:v>2026-10-26 0:00:00</c:v>
                </c:pt>
                <c:pt idx="125">
                  <c:v>2026-10-26 0:00:00</c:v>
                </c:pt>
              </c:strCache>
            </c:strRef>
          </c:cat>
          <c:val>
            <c:numRef>
              <c:f>'lista scommesse'!$P$2:$P$26</c:f>
              <c:numCache>
                <c:formatCode>[$€]#,##0.00</c:formatCode>
                <c:ptCount val="25"/>
                <c:pt idx="0">
                  <c:v>0.5318278514154805</c:v>
                </c:pt>
                <c:pt idx="1">
                  <c:v>0.85705561854378409</c:v>
                </c:pt>
                <c:pt idx="2">
                  <c:v>1.5900706139362613</c:v>
                </c:pt>
                <c:pt idx="3">
                  <c:v>2.0364991853648329</c:v>
                </c:pt>
                <c:pt idx="4">
                  <c:v>2.5051178913308334</c:v>
                </c:pt>
                <c:pt idx="5">
                  <c:v>3.0651537336247401</c:v>
                </c:pt>
                <c:pt idx="6">
                  <c:v>3.6090676234678631</c:v>
                </c:pt>
                <c:pt idx="7">
                  <c:v>4.0752680896683291</c:v>
                </c:pt>
                <c:pt idx="8">
                  <c:v>4.3733602995252454</c:v>
                </c:pt>
                <c:pt idx="9">
                  <c:v>5.0185215898478264</c:v>
                </c:pt>
                <c:pt idx="10">
                  <c:v>5.4884464018779013</c:v>
                </c:pt>
                <c:pt idx="11">
                  <c:v>6.0187494321809316</c:v>
                </c:pt>
                <c:pt idx="12">
                  <c:v>6.726323302893034</c:v>
                </c:pt>
                <c:pt idx="13">
                  <c:v>7.3785602339974883</c:v>
                </c:pt>
                <c:pt idx="14">
                  <c:v>8.0195858750231288</c:v>
                </c:pt>
                <c:pt idx="15">
                  <c:v>8.4481135762781037</c:v>
                </c:pt>
                <c:pt idx="16">
                  <c:v>8.708214148499362</c:v>
                </c:pt>
                <c:pt idx="17">
                  <c:v>9.0936894395332057</c:v>
                </c:pt>
                <c:pt idx="18">
                  <c:v>9.6043919886050606</c:v>
                </c:pt>
                <c:pt idx="19">
                  <c:v>9.9329463494174863</c:v>
                </c:pt>
                <c:pt idx="20">
                  <c:v>10.444642255850235</c:v>
                </c:pt>
                <c:pt idx="21">
                  <c:v>10.925056150898277</c:v>
                </c:pt>
                <c:pt idx="22">
                  <c:v>11.221352447194572</c:v>
                </c:pt>
                <c:pt idx="23">
                  <c:v>11.615599592845237</c:v>
                </c:pt>
                <c:pt idx="24">
                  <c:v>12.13824767646893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2-46AD-84DC-5554D84D1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5319932"/>
        <c:axId val="18260907"/>
      </c:lineChart>
      <c:catAx>
        <c:axId val="75319932"/>
        <c:scaling>
          <c:orientation val="minMax"/>
        </c:scaling>
        <c:delete val="0"/>
        <c:axPos val="b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Arial"/>
                <a:ea typeface="Arial"/>
              </a:defRPr>
            </a:pPr>
            <a:endParaRPr lang="it-IT"/>
          </a:p>
        </c:txPr>
        <c:crossAx val="18260907"/>
        <c:crosses val="autoZero"/>
        <c:auto val="1"/>
        <c:lblAlgn val="ctr"/>
        <c:lblOffset val="100"/>
        <c:noMultiLvlLbl val="0"/>
      </c:catAx>
      <c:valAx>
        <c:axId val="18260907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numFmt formatCode="[$€]#,##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Arial"/>
                <a:ea typeface="Arial"/>
              </a:defRPr>
            </a:pPr>
            <a:endParaRPr lang="it-IT"/>
          </a:p>
        </c:txPr>
        <c:crossAx val="75319932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BFBFBF"/>
              </a:solidFill>
              <a:latin typeface="Arial"/>
              <a:ea typeface="Arial"/>
            </a:defRPr>
          </a:pPr>
          <a:endParaRPr lang="it-IT"/>
        </a:p>
      </c:txPr>
    </c:legend>
    <c:plotVisOnly val="1"/>
    <c:dispBlanksAs val="zero"/>
    <c:showDLblsOverMax val="1"/>
  </c:chart>
  <c:spPr>
    <a:solidFill>
      <a:srgbClr val="40404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177120</xdr:colOff>
      <xdr:row>23</xdr:row>
      <xdr:rowOff>14820</xdr:rowOff>
    </xdr:from>
    <xdr:to>
      <xdr:col>25</xdr:col>
      <xdr:colOff>518040</xdr:colOff>
      <xdr:row>51</xdr:row>
      <xdr:rowOff>164340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6"/>
  <sheetViews>
    <sheetView tabSelected="1" zoomScaleNormal="100" workbookViewId="0">
      <pane ySplit="1" topLeftCell="A109" activePane="bottomLeft" state="frozen"/>
      <selection activeCell="P1" sqref="P1"/>
      <selection pane="bottomLeft" activeCell="B135" sqref="B135"/>
    </sheetView>
  </sheetViews>
  <sheetFormatPr defaultColWidth="14.453125" defaultRowHeight="12.5"/>
  <cols>
    <col min="1" max="1" width="18.453125" customWidth="1"/>
    <col min="2" max="2" width="17.54296875" customWidth="1"/>
    <col min="3" max="3" width="19.81640625" customWidth="1"/>
    <col min="4" max="4" width="14.90625" customWidth="1"/>
    <col min="5" max="5" width="40.08984375" customWidth="1"/>
    <col min="6" max="6" width="22.453125" customWidth="1"/>
    <col min="7" max="7" width="10.90625" customWidth="1"/>
    <col min="8" max="8" width="14.6328125" customWidth="1"/>
    <col min="9" max="9" width="9.453125" customWidth="1"/>
    <col min="10" max="10" width="11.08984375" customWidth="1"/>
    <col min="11" max="11" width="13" customWidth="1"/>
    <col min="12" max="12" width="12" customWidth="1"/>
    <col min="13" max="13" width="13.08984375" customWidth="1"/>
    <col min="14" max="14" width="14.6328125" customWidth="1"/>
    <col min="15" max="16" width="13.08984375" customWidth="1"/>
    <col min="17" max="17" width="10.36328125" customWidth="1"/>
    <col min="18" max="18" width="21.54296875" customWidth="1"/>
  </cols>
  <sheetData>
    <row r="1" spans="1:26" ht="15.75" customHeight="1">
      <c r="A1" s="1" t="s">
        <v>0</v>
      </c>
      <c r="B1" s="1" t="s">
        <v>1</v>
      </c>
      <c r="C1" s="1" t="s">
        <v>34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/>
      <c r="R1" s="3"/>
      <c r="V1" s="4"/>
      <c r="W1" s="4"/>
      <c r="X1" s="4"/>
      <c r="Y1" s="4"/>
      <c r="Z1" s="4"/>
    </row>
    <row r="2" spans="1:26" ht="15.75" customHeight="1">
      <c r="A2" s="13">
        <v>46306</v>
      </c>
      <c r="B2" s="13">
        <v>46307</v>
      </c>
      <c r="C2" s="13" t="s">
        <v>35</v>
      </c>
      <c r="D2" s="10" t="s">
        <v>19</v>
      </c>
      <c r="E2" s="14" t="s">
        <v>20</v>
      </c>
      <c r="F2" s="14" t="s">
        <v>21</v>
      </c>
      <c r="G2" s="15">
        <v>5</v>
      </c>
      <c r="H2" s="18">
        <f>SUM(100/J2-100/I2)</f>
        <v>10.63655702830961</v>
      </c>
      <c r="I2" s="14">
        <v>1.4550000000000001</v>
      </c>
      <c r="J2" s="14">
        <v>1.26</v>
      </c>
      <c r="K2" s="16">
        <v>5</v>
      </c>
      <c r="L2" s="14" t="s">
        <v>22</v>
      </c>
      <c r="M2" s="17">
        <f t="shared" ref="M2:M26" si="0">IF(L2="Persa",-G2,G2*(I2-1))</f>
        <v>2.2750000000000004</v>
      </c>
      <c r="N2" s="17">
        <f t="shared" ref="N2:N26" si="1">+G2*(H2/100)</f>
        <v>0.5318278514154805</v>
      </c>
      <c r="O2" s="17">
        <f>M2</f>
        <v>2.2750000000000004</v>
      </c>
      <c r="P2" s="17">
        <f>N2</f>
        <v>0.5318278514154805</v>
      </c>
      <c r="R2" s="4" t="s">
        <v>15</v>
      </c>
      <c r="S2" s="3">
        <f>COUNTA(L:L)-1</f>
        <v>125</v>
      </c>
      <c r="V2" s="3"/>
      <c r="W2" s="3"/>
      <c r="X2" s="3"/>
      <c r="Y2" s="3"/>
      <c r="Z2" s="3"/>
    </row>
    <row r="3" spans="1:26" ht="15.75" customHeight="1">
      <c r="A3" s="13">
        <v>46306</v>
      </c>
      <c r="B3" s="13">
        <f t="shared" ref="B3:B27" si="2">A3</f>
        <v>46306</v>
      </c>
      <c r="C3" s="13" t="s">
        <v>35</v>
      </c>
      <c r="D3" s="10" t="s">
        <v>19</v>
      </c>
      <c r="E3" s="14" t="s">
        <v>20</v>
      </c>
      <c r="F3" s="14" t="s">
        <v>66</v>
      </c>
      <c r="G3" s="15">
        <v>5</v>
      </c>
      <c r="H3" s="18">
        <f t="shared" ref="H3:H26" si="3">SUM(100/J3-100/I3)</f>
        <v>6.5045553425660714</v>
      </c>
      <c r="I3" s="14">
        <v>1.601</v>
      </c>
      <c r="J3" s="14">
        <v>1.45</v>
      </c>
      <c r="K3" s="16">
        <v>5</v>
      </c>
      <c r="L3" s="14" t="s">
        <v>23</v>
      </c>
      <c r="M3" s="17">
        <f t="shared" si="0"/>
        <v>-5</v>
      </c>
      <c r="N3" s="17">
        <f t="shared" si="1"/>
        <v>0.32522776712830354</v>
      </c>
      <c r="O3" s="17">
        <f t="shared" ref="O3:O26" si="4">M3+O2</f>
        <v>-2.7249999999999996</v>
      </c>
      <c r="P3" s="17">
        <f t="shared" ref="P3:P26" si="5">P2+N3</f>
        <v>0.85705561854378409</v>
      </c>
      <c r="R3" s="4" t="s">
        <v>16</v>
      </c>
      <c r="S3" s="6">
        <f>SUM(G2:G26)</f>
        <v>125</v>
      </c>
      <c r="V3" s="3"/>
      <c r="W3" s="3"/>
      <c r="X3" s="3"/>
      <c r="Y3" s="3"/>
      <c r="Z3" s="3"/>
    </row>
    <row r="4" spans="1:26" ht="15.75" customHeight="1">
      <c r="A4" s="13">
        <v>46309</v>
      </c>
      <c r="B4" s="13">
        <f t="shared" si="2"/>
        <v>46309</v>
      </c>
      <c r="C4" s="13" t="s">
        <v>36</v>
      </c>
      <c r="D4" s="10" t="s">
        <v>24</v>
      </c>
      <c r="E4" s="14" t="s">
        <v>25</v>
      </c>
      <c r="F4" s="14" t="s">
        <v>63</v>
      </c>
      <c r="G4" s="15">
        <v>5</v>
      </c>
      <c r="H4" s="18">
        <f t="shared" si="3"/>
        <v>14.660299907849542</v>
      </c>
      <c r="I4" s="14">
        <v>1.73</v>
      </c>
      <c r="J4" s="14">
        <v>1.38</v>
      </c>
      <c r="K4" s="16">
        <v>5</v>
      </c>
      <c r="L4" s="14" t="s">
        <v>22</v>
      </c>
      <c r="M4" s="17">
        <f t="shared" si="0"/>
        <v>3.65</v>
      </c>
      <c r="N4" s="17">
        <f t="shared" si="1"/>
        <v>0.73301499539247705</v>
      </c>
      <c r="O4" s="17">
        <f t="shared" si="4"/>
        <v>0.92500000000000027</v>
      </c>
      <c r="P4" s="17">
        <f t="shared" si="5"/>
        <v>1.5900706139362613</v>
      </c>
      <c r="R4" s="4" t="s">
        <v>17</v>
      </c>
      <c r="S4" s="5">
        <f>SUM(M:M)</f>
        <v>-32.074999999999989</v>
      </c>
      <c r="V4" s="3"/>
      <c r="W4" s="3"/>
      <c r="X4" s="3"/>
      <c r="Y4" s="3"/>
      <c r="Z4" s="3"/>
    </row>
    <row r="5" spans="1:26" ht="15.75" customHeight="1">
      <c r="A5" s="13">
        <v>46309</v>
      </c>
      <c r="B5" s="13">
        <f t="shared" si="2"/>
        <v>46309</v>
      </c>
      <c r="C5" s="13" t="s">
        <v>36</v>
      </c>
      <c r="D5" s="11" t="s">
        <v>26</v>
      </c>
      <c r="E5" s="14" t="s">
        <v>25</v>
      </c>
      <c r="F5" s="14" t="s">
        <v>27</v>
      </c>
      <c r="G5" s="15">
        <v>5</v>
      </c>
      <c r="H5" s="18">
        <f t="shared" si="3"/>
        <v>8.9285714285714306</v>
      </c>
      <c r="I5" s="14">
        <v>1.6</v>
      </c>
      <c r="J5" s="14">
        <v>1.4</v>
      </c>
      <c r="K5" s="16">
        <v>5</v>
      </c>
      <c r="L5" s="14" t="s">
        <v>22</v>
      </c>
      <c r="M5" s="17">
        <f t="shared" si="0"/>
        <v>3.0000000000000004</v>
      </c>
      <c r="N5" s="17">
        <f t="shared" si="1"/>
        <v>0.44642857142857151</v>
      </c>
      <c r="O5" s="17">
        <f t="shared" si="4"/>
        <v>3.9250000000000007</v>
      </c>
      <c r="P5" s="17">
        <f t="shared" si="5"/>
        <v>2.0364991853648329</v>
      </c>
      <c r="R5" s="4" t="s">
        <v>18</v>
      </c>
      <c r="S5" s="7">
        <f>S4/S3</f>
        <v>-0.25659999999999988</v>
      </c>
      <c r="V5" s="3"/>
      <c r="W5" s="3"/>
      <c r="X5" s="3"/>
      <c r="Y5" s="3"/>
      <c r="Z5" s="3"/>
    </row>
    <row r="6" spans="1:26" ht="15.75" customHeight="1">
      <c r="A6" s="13">
        <v>46309</v>
      </c>
      <c r="B6" s="13">
        <f t="shared" si="2"/>
        <v>46309</v>
      </c>
      <c r="C6" s="13" t="s">
        <v>36</v>
      </c>
      <c r="D6" s="12" t="s">
        <v>28</v>
      </c>
      <c r="E6" s="14" t="s">
        <v>29</v>
      </c>
      <c r="F6" s="14" t="s">
        <v>30</v>
      </c>
      <c r="G6" s="15">
        <v>5</v>
      </c>
      <c r="H6" s="18">
        <f t="shared" si="3"/>
        <v>9.3723741193200141</v>
      </c>
      <c r="I6" s="14">
        <v>1.91</v>
      </c>
      <c r="J6" s="14">
        <v>1.62</v>
      </c>
      <c r="K6" s="16">
        <v>5</v>
      </c>
      <c r="L6" s="14" t="s">
        <v>22</v>
      </c>
      <c r="M6" s="17">
        <f t="shared" si="0"/>
        <v>4.55</v>
      </c>
      <c r="N6" s="17">
        <f t="shared" si="1"/>
        <v>0.46861870596600069</v>
      </c>
      <c r="O6" s="17">
        <f t="shared" si="4"/>
        <v>8.4750000000000014</v>
      </c>
      <c r="P6" s="17">
        <f t="shared" si="5"/>
        <v>2.5051178913308334</v>
      </c>
      <c r="R6" s="4" t="s">
        <v>12</v>
      </c>
      <c r="S6" s="5" t="e">
        <f>SUM(N:N)</f>
        <v>#DIV/0!</v>
      </c>
      <c r="V6" s="3"/>
      <c r="W6" s="3"/>
      <c r="X6" s="3"/>
      <c r="Y6" s="3"/>
      <c r="Z6" s="3"/>
    </row>
    <row r="7" spans="1:26" ht="15.75" customHeight="1">
      <c r="A7" s="13">
        <v>46309</v>
      </c>
      <c r="B7" s="13">
        <f t="shared" si="2"/>
        <v>46309</v>
      </c>
      <c r="C7" s="13" t="s">
        <v>36</v>
      </c>
      <c r="D7" s="11" t="s">
        <v>28</v>
      </c>
      <c r="E7" s="14" t="s">
        <v>31</v>
      </c>
      <c r="F7" s="14" t="s">
        <v>63</v>
      </c>
      <c r="G7" s="15">
        <v>5</v>
      </c>
      <c r="H7" s="18">
        <f t="shared" si="3"/>
        <v>11.200716845878134</v>
      </c>
      <c r="I7" s="14">
        <v>1.44</v>
      </c>
      <c r="J7" s="14">
        <v>1.24</v>
      </c>
      <c r="K7" s="16">
        <v>5</v>
      </c>
      <c r="L7" s="14" t="s">
        <v>22</v>
      </c>
      <c r="M7" s="17">
        <f t="shared" si="0"/>
        <v>2.1999999999999997</v>
      </c>
      <c r="N7" s="17">
        <f t="shared" si="1"/>
        <v>0.56003584229390668</v>
      </c>
      <c r="O7" s="17">
        <f t="shared" si="4"/>
        <v>10.675000000000001</v>
      </c>
      <c r="P7" s="17">
        <f t="shared" si="5"/>
        <v>3.0651537336247401</v>
      </c>
      <c r="R7" s="4" t="s">
        <v>6</v>
      </c>
      <c r="S7" s="7" t="e">
        <f>S6/S3</f>
        <v>#DIV/0!</v>
      </c>
      <c r="V7" s="3"/>
      <c r="W7" s="3"/>
      <c r="X7" s="3"/>
      <c r="Y7" s="3"/>
      <c r="Z7" s="3"/>
    </row>
    <row r="8" spans="1:26" ht="15.75" customHeight="1">
      <c r="A8" s="13">
        <v>46309</v>
      </c>
      <c r="B8" s="13">
        <f t="shared" si="2"/>
        <v>46309</v>
      </c>
      <c r="C8" s="13" t="s">
        <v>36</v>
      </c>
      <c r="D8" s="11" t="s">
        <v>28</v>
      </c>
      <c r="E8" s="14" t="s">
        <v>32</v>
      </c>
      <c r="F8" s="14" t="s">
        <v>33</v>
      </c>
      <c r="G8" s="15">
        <v>5</v>
      </c>
      <c r="H8" s="18">
        <f t="shared" si="3"/>
        <v>10.878277796862463</v>
      </c>
      <c r="I8" s="14">
        <v>1.42</v>
      </c>
      <c r="J8" s="14">
        <v>1.23</v>
      </c>
      <c r="K8" s="16">
        <v>5</v>
      </c>
      <c r="L8" s="14" t="s">
        <v>22</v>
      </c>
      <c r="M8" s="17">
        <f t="shared" si="0"/>
        <v>2.0999999999999996</v>
      </c>
      <c r="N8" s="17">
        <f t="shared" si="1"/>
        <v>0.54391388984312306</v>
      </c>
      <c r="O8" s="17">
        <f t="shared" si="4"/>
        <v>12.775</v>
      </c>
      <c r="P8" s="17">
        <f t="shared" si="5"/>
        <v>3.6090676234678631</v>
      </c>
      <c r="S8" s="3"/>
      <c r="V8" s="3"/>
      <c r="W8" s="3"/>
      <c r="X8" s="3"/>
      <c r="Y8" s="3"/>
      <c r="Z8" s="3"/>
    </row>
    <row r="9" spans="1:26" ht="15.75" customHeight="1">
      <c r="A9" s="13">
        <v>46310</v>
      </c>
      <c r="B9" s="13">
        <f t="shared" si="2"/>
        <v>46310</v>
      </c>
      <c r="C9" s="13" t="s">
        <v>37</v>
      </c>
      <c r="D9" s="12" t="s">
        <v>38</v>
      </c>
      <c r="E9" s="14" t="s">
        <v>39</v>
      </c>
      <c r="F9" s="14" t="s">
        <v>30</v>
      </c>
      <c r="G9" s="15">
        <v>5</v>
      </c>
      <c r="H9" s="18">
        <f t="shared" si="3"/>
        <v>9.3240093240093245</v>
      </c>
      <c r="I9" s="14">
        <v>1.95</v>
      </c>
      <c r="J9" s="14">
        <v>1.65</v>
      </c>
      <c r="K9" s="16">
        <v>5</v>
      </c>
      <c r="L9" s="14" t="s">
        <v>23</v>
      </c>
      <c r="M9" s="17">
        <f t="shared" si="0"/>
        <v>-5</v>
      </c>
      <c r="N9" s="17">
        <f t="shared" si="1"/>
        <v>0.46620046620046623</v>
      </c>
      <c r="O9" s="17">
        <f t="shared" si="4"/>
        <v>7.7750000000000004</v>
      </c>
      <c r="P9" s="17">
        <f t="shared" si="5"/>
        <v>4.0752680896683291</v>
      </c>
      <c r="S9" s="3"/>
      <c r="V9" s="3"/>
      <c r="W9" s="3"/>
      <c r="X9" s="3"/>
      <c r="Y9" s="3"/>
      <c r="Z9" s="3"/>
    </row>
    <row r="10" spans="1:26" ht="15.75" customHeight="1">
      <c r="A10" s="13">
        <v>46310</v>
      </c>
      <c r="B10" s="13">
        <f t="shared" si="2"/>
        <v>46310</v>
      </c>
      <c r="C10" s="13" t="s">
        <v>40</v>
      </c>
      <c r="D10" s="11" t="s">
        <v>41</v>
      </c>
      <c r="E10" s="14" t="s">
        <v>42</v>
      </c>
      <c r="F10" s="14" t="s">
        <v>21</v>
      </c>
      <c r="G10" s="15">
        <v>5</v>
      </c>
      <c r="H10" s="18">
        <f t="shared" si="3"/>
        <v>5.9618441971383191</v>
      </c>
      <c r="I10" s="14">
        <v>1.48</v>
      </c>
      <c r="J10" s="14">
        <v>1.36</v>
      </c>
      <c r="K10" s="16">
        <v>5</v>
      </c>
      <c r="L10" s="14" t="s">
        <v>22</v>
      </c>
      <c r="M10" s="17">
        <f t="shared" si="0"/>
        <v>2.4</v>
      </c>
      <c r="N10" s="17">
        <f t="shared" si="1"/>
        <v>0.29809220985691598</v>
      </c>
      <c r="O10" s="17">
        <f t="shared" si="4"/>
        <v>10.175000000000001</v>
      </c>
      <c r="P10" s="17">
        <f t="shared" si="5"/>
        <v>4.3733602995252454</v>
      </c>
      <c r="R10" s="3"/>
      <c r="S10" s="8"/>
      <c r="V10" s="3"/>
      <c r="W10" s="3"/>
      <c r="X10" s="3"/>
      <c r="Y10" s="3"/>
      <c r="Z10" s="3"/>
    </row>
    <row r="11" spans="1:26" ht="15.75" customHeight="1">
      <c r="A11" s="13">
        <v>46310</v>
      </c>
      <c r="B11" s="13">
        <f t="shared" si="2"/>
        <v>46310</v>
      </c>
      <c r="C11" s="13" t="s">
        <v>37</v>
      </c>
      <c r="D11" s="11" t="s">
        <v>38</v>
      </c>
      <c r="E11" s="14" t="s">
        <v>43</v>
      </c>
      <c r="F11" s="14" t="s">
        <v>44</v>
      </c>
      <c r="G11" s="15">
        <v>5</v>
      </c>
      <c r="H11" s="18">
        <f t="shared" si="3"/>
        <v>12.903225806451623</v>
      </c>
      <c r="I11" s="14">
        <v>1.86</v>
      </c>
      <c r="J11" s="14">
        <v>1.5</v>
      </c>
      <c r="K11" s="16">
        <v>5</v>
      </c>
      <c r="L11" s="14" t="s">
        <v>23</v>
      </c>
      <c r="M11" s="17">
        <f t="shared" si="0"/>
        <v>-5</v>
      </c>
      <c r="N11" s="17">
        <f t="shared" si="1"/>
        <v>0.64516129032258118</v>
      </c>
      <c r="O11" s="17">
        <f t="shared" si="4"/>
        <v>5.1750000000000007</v>
      </c>
      <c r="P11" s="17">
        <f t="shared" si="5"/>
        <v>5.0185215898478264</v>
      </c>
      <c r="R11" s="3"/>
      <c r="S11" s="3"/>
      <c r="V11" s="3"/>
      <c r="W11" s="3"/>
      <c r="X11" s="3"/>
      <c r="Y11" s="3"/>
      <c r="Z11" s="3"/>
    </row>
    <row r="12" spans="1:26" ht="15.75" customHeight="1">
      <c r="A12" s="13">
        <v>46310</v>
      </c>
      <c r="B12" s="13">
        <f t="shared" si="2"/>
        <v>46310</v>
      </c>
      <c r="C12" s="13" t="s">
        <v>37</v>
      </c>
      <c r="D12" s="11" t="s">
        <v>38</v>
      </c>
      <c r="E12" s="14" t="s">
        <v>45</v>
      </c>
      <c r="F12" s="14" t="s">
        <v>44</v>
      </c>
      <c r="G12" s="15">
        <v>5</v>
      </c>
      <c r="H12" s="18">
        <f t="shared" si="3"/>
        <v>9.3984962406015029</v>
      </c>
      <c r="I12" s="14">
        <v>1.52</v>
      </c>
      <c r="J12" s="14">
        <v>1.33</v>
      </c>
      <c r="K12" s="16">
        <v>5</v>
      </c>
      <c r="L12" s="14" t="s">
        <v>22</v>
      </c>
      <c r="M12" s="17">
        <f t="shared" si="0"/>
        <v>2.6</v>
      </c>
      <c r="N12" s="17">
        <f t="shared" si="1"/>
        <v>0.46992481203007519</v>
      </c>
      <c r="O12" s="17">
        <f t="shared" si="4"/>
        <v>7.7750000000000004</v>
      </c>
      <c r="P12" s="17">
        <f t="shared" si="5"/>
        <v>5.4884464018779013</v>
      </c>
      <c r="R12" s="3"/>
      <c r="S12" s="7"/>
      <c r="V12" s="3"/>
      <c r="W12" s="3"/>
      <c r="X12" s="3"/>
      <c r="Y12" s="3"/>
      <c r="Z12" s="3"/>
    </row>
    <row r="13" spans="1:26" ht="15.75" customHeight="1">
      <c r="A13" s="13">
        <v>46310</v>
      </c>
      <c r="B13" s="13">
        <f t="shared" si="2"/>
        <v>46310</v>
      </c>
      <c r="C13" s="13" t="s">
        <v>37</v>
      </c>
      <c r="D13" s="11" t="s">
        <v>24</v>
      </c>
      <c r="E13" s="14" t="s">
        <v>46</v>
      </c>
      <c r="F13" s="14" t="s">
        <v>47</v>
      </c>
      <c r="G13" s="15">
        <v>5</v>
      </c>
      <c r="H13" s="18">
        <f t="shared" si="3"/>
        <v>10.606060606060609</v>
      </c>
      <c r="I13" s="14">
        <v>2</v>
      </c>
      <c r="J13" s="14">
        <v>1.65</v>
      </c>
      <c r="K13" s="16">
        <v>5</v>
      </c>
      <c r="L13" s="14" t="s">
        <v>23</v>
      </c>
      <c r="M13" s="17">
        <f t="shared" si="0"/>
        <v>-5</v>
      </c>
      <c r="N13" s="17">
        <f t="shared" si="1"/>
        <v>0.5303030303030305</v>
      </c>
      <c r="O13" s="17">
        <f t="shared" si="4"/>
        <v>2.7750000000000004</v>
      </c>
      <c r="P13" s="17">
        <f t="shared" si="5"/>
        <v>6.0187494321809316</v>
      </c>
      <c r="R13" s="3"/>
      <c r="S13" s="7"/>
      <c r="V13" s="3"/>
      <c r="W13" s="3"/>
      <c r="X13" s="3"/>
      <c r="Y13" s="3"/>
      <c r="Z13" s="3"/>
    </row>
    <row r="14" spans="1:26" ht="15.75" customHeight="1">
      <c r="A14" s="13">
        <v>46310</v>
      </c>
      <c r="B14" s="13">
        <f t="shared" si="2"/>
        <v>46310</v>
      </c>
      <c r="C14" s="13" t="s">
        <v>37</v>
      </c>
      <c r="D14" s="11" t="s">
        <v>48</v>
      </c>
      <c r="E14" s="14" t="s">
        <v>49</v>
      </c>
      <c r="F14" s="14">
        <v>1</v>
      </c>
      <c r="G14" s="15">
        <v>5</v>
      </c>
      <c r="H14" s="18">
        <f t="shared" si="3"/>
        <v>14.151477414242052</v>
      </c>
      <c r="I14" s="14">
        <v>1.46</v>
      </c>
      <c r="J14" s="14">
        <v>1.21</v>
      </c>
      <c r="K14" s="16">
        <v>5</v>
      </c>
      <c r="L14" s="14" t="s">
        <v>22</v>
      </c>
      <c r="M14" s="17">
        <f t="shared" si="0"/>
        <v>2.2999999999999998</v>
      </c>
      <c r="N14" s="17">
        <f t="shared" si="1"/>
        <v>0.70757387071210265</v>
      </c>
      <c r="O14" s="17">
        <f t="shared" si="4"/>
        <v>5.0750000000000002</v>
      </c>
      <c r="P14" s="17">
        <f t="shared" si="5"/>
        <v>6.726323302893034</v>
      </c>
      <c r="V14" s="3"/>
      <c r="W14" s="3"/>
      <c r="X14" s="3"/>
      <c r="Y14" s="3"/>
      <c r="Z14" s="3"/>
    </row>
    <row r="15" spans="1:26" ht="15.75" customHeight="1">
      <c r="A15" s="13">
        <v>46310</v>
      </c>
      <c r="B15" s="13">
        <f t="shared" si="2"/>
        <v>46310</v>
      </c>
      <c r="C15" s="13" t="s">
        <v>40</v>
      </c>
      <c r="D15" s="11" t="s">
        <v>38</v>
      </c>
      <c r="E15" s="14" t="s">
        <v>50</v>
      </c>
      <c r="F15" s="14" t="s">
        <v>66</v>
      </c>
      <c r="G15" s="15">
        <v>5</v>
      </c>
      <c r="H15" s="18">
        <f t="shared" si="3"/>
        <v>13.044738622089085</v>
      </c>
      <c r="I15" s="14">
        <v>1.58</v>
      </c>
      <c r="J15" s="14">
        <v>1.31</v>
      </c>
      <c r="K15" s="16">
        <v>5</v>
      </c>
      <c r="L15" s="14" t="s">
        <v>23</v>
      </c>
      <c r="M15" s="17">
        <f t="shared" si="0"/>
        <v>-5</v>
      </c>
      <c r="N15" s="17">
        <f t="shared" si="1"/>
        <v>0.65223693110445424</v>
      </c>
      <c r="O15" s="17">
        <f t="shared" si="4"/>
        <v>7.5000000000000178E-2</v>
      </c>
      <c r="P15" s="17">
        <f t="shared" si="5"/>
        <v>7.3785602339974883</v>
      </c>
      <c r="V15" s="3"/>
      <c r="W15" s="3"/>
      <c r="X15" s="3"/>
      <c r="Y15" s="3"/>
      <c r="Z15" s="3"/>
    </row>
    <row r="16" spans="1:26" ht="15.75" customHeight="1">
      <c r="A16" s="13">
        <v>46310</v>
      </c>
      <c r="B16" s="13">
        <f t="shared" si="2"/>
        <v>46310</v>
      </c>
      <c r="C16" s="13" t="s">
        <v>40</v>
      </c>
      <c r="D16" s="11" t="s">
        <v>38</v>
      </c>
      <c r="E16" s="14" t="s">
        <v>50</v>
      </c>
      <c r="F16" s="14" t="s">
        <v>51</v>
      </c>
      <c r="G16" s="15">
        <v>5</v>
      </c>
      <c r="H16" s="18">
        <f t="shared" si="3"/>
        <v>12.820512820512818</v>
      </c>
      <c r="I16" s="14">
        <v>1.56</v>
      </c>
      <c r="J16" s="14">
        <v>1.3</v>
      </c>
      <c r="K16" s="16">
        <v>5</v>
      </c>
      <c r="L16" s="14" t="s">
        <v>23</v>
      </c>
      <c r="M16" s="17">
        <f t="shared" si="0"/>
        <v>-5</v>
      </c>
      <c r="N16" s="17">
        <f t="shared" si="1"/>
        <v>0.64102564102564086</v>
      </c>
      <c r="O16" s="17">
        <f t="shared" si="4"/>
        <v>-4.9249999999999998</v>
      </c>
      <c r="P16" s="17">
        <f t="shared" si="5"/>
        <v>8.0195858750231288</v>
      </c>
      <c r="V16" s="3"/>
      <c r="W16" s="3"/>
      <c r="X16" s="3"/>
      <c r="Y16" s="3"/>
      <c r="Z16" s="3"/>
    </row>
    <row r="17" spans="1:26" ht="15.75" customHeight="1">
      <c r="A17" s="13">
        <v>46310</v>
      </c>
      <c r="B17" s="13">
        <f t="shared" si="2"/>
        <v>46310</v>
      </c>
      <c r="C17" s="13" t="s">
        <v>40</v>
      </c>
      <c r="D17" s="11" t="s">
        <v>38</v>
      </c>
      <c r="E17" s="14" t="s">
        <v>50</v>
      </c>
      <c r="F17" s="14" t="s">
        <v>21</v>
      </c>
      <c r="G17" s="15">
        <v>5</v>
      </c>
      <c r="H17" s="18">
        <f t="shared" si="3"/>
        <v>8.5705540250994829</v>
      </c>
      <c r="I17" s="14">
        <v>1.35</v>
      </c>
      <c r="J17" s="14">
        <v>1.21</v>
      </c>
      <c r="K17" s="16">
        <v>5</v>
      </c>
      <c r="L17" s="14" t="s">
        <v>22</v>
      </c>
      <c r="M17" s="17">
        <f t="shared" si="0"/>
        <v>1.7500000000000004</v>
      </c>
      <c r="N17" s="17">
        <f t="shared" si="1"/>
        <v>0.42852770125497419</v>
      </c>
      <c r="O17" s="17">
        <f t="shared" si="4"/>
        <v>-3.1749999999999994</v>
      </c>
      <c r="P17" s="17">
        <f t="shared" si="5"/>
        <v>8.4481135762781037</v>
      </c>
      <c r="V17" s="9"/>
      <c r="W17" s="3"/>
      <c r="X17" s="3"/>
      <c r="Y17" s="3"/>
      <c r="Z17" s="3"/>
    </row>
    <row r="18" spans="1:26" ht="15.75" customHeight="1">
      <c r="A18" s="13">
        <v>46310</v>
      </c>
      <c r="B18" s="13">
        <f t="shared" si="2"/>
        <v>46310</v>
      </c>
      <c r="C18" s="13" t="s">
        <v>40</v>
      </c>
      <c r="D18" s="11" t="s">
        <v>52</v>
      </c>
      <c r="E18" s="14" t="s">
        <v>53</v>
      </c>
      <c r="F18" s="14" t="s">
        <v>54</v>
      </c>
      <c r="G18" s="15">
        <v>5</v>
      </c>
      <c r="H18" s="18">
        <f t="shared" si="3"/>
        <v>5.2020114444251817</v>
      </c>
      <c r="I18" s="14">
        <v>1.58</v>
      </c>
      <c r="J18" s="14">
        <v>1.46</v>
      </c>
      <c r="K18" s="16">
        <v>5</v>
      </c>
      <c r="L18" s="14" t="s">
        <v>23</v>
      </c>
      <c r="M18" s="17">
        <f t="shared" si="0"/>
        <v>-5</v>
      </c>
      <c r="N18" s="17">
        <f t="shared" si="1"/>
        <v>0.2601005722212591</v>
      </c>
      <c r="O18" s="17">
        <f t="shared" si="4"/>
        <v>-8.1749999999999989</v>
      </c>
      <c r="P18" s="17">
        <f t="shared" si="5"/>
        <v>8.708214148499362</v>
      </c>
      <c r="V18" s="9"/>
      <c r="W18" s="3"/>
      <c r="X18" s="3"/>
      <c r="Y18" s="3"/>
      <c r="Z18" s="3"/>
    </row>
    <row r="19" spans="1:26" ht="15.75" customHeight="1">
      <c r="A19" s="13">
        <v>46310</v>
      </c>
      <c r="B19" s="13">
        <f t="shared" si="2"/>
        <v>46310</v>
      </c>
      <c r="C19" s="13" t="s">
        <v>40</v>
      </c>
      <c r="D19" s="11" t="s">
        <v>48</v>
      </c>
      <c r="E19" s="14" t="s">
        <v>53</v>
      </c>
      <c r="F19" s="14">
        <v>1</v>
      </c>
      <c r="G19" s="15">
        <v>5</v>
      </c>
      <c r="H19" s="18">
        <f t="shared" si="3"/>
        <v>7.7095058206768812</v>
      </c>
      <c r="I19" s="14">
        <v>1.19</v>
      </c>
      <c r="J19" s="14">
        <v>1.0900000000000001</v>
      </c>
      <c r="K19" s="16">
        <v>5</v>
      </c>
      <c r="L19" s="14" t="s">
        <v>22</v>
      </c>
      <c r="M19" s="17">
        <f t="shared" si="0"/>
        <v>0.94999999999999973</v>
      </c>
      <c r="N19" s="17">
        <f t="shared" si="1"/>
        <v>0.38547529103384409</v>
      </c>
      <c r="O19" s="17">
        <f t="shared" si="4"/>
        <v>-7.2249999999999996</v>
      </c>
      <c r="P19" s="17">
        <f t="shared" si="5"/>
        <v>9.0936894395332057</v>
      </c>
      <c r="V19" s="9"/>
      <c r="W19" s="3"/>
      <c r="X19" s="3"/>
      <c r="Y19" s="3"/>
      <c r="Z19" s="3"/>
    </row>
    <row r="20" spans="1:26" ht="15.75" customHeight="1">
      <c r="A20" s="13">
        <v>46310</v>
      </c>
      <c r="B20" s="13">
        <f t="shared" si="2"/>
        <v>46310</v>
      </c>
      <c r="C20" s="13" t="s">
        <v>40</v>
      </c>
      <c r="D20" s="11" t="s">
        <v>38</v>
      </c>
      <c r="E20" s="14" t="s">
        <v>55</v>
      </c>
      <c r="F20" s="14" t="s">
        <v>64</v>
      </c>
      <c r="G20" s="15">
        <v>5</v>
      </c>
      <c r="H20" s="18">
        <f t="shared" si="3"/>
        <v>10.214050981437083</v>
      </c>
      <c r="I20" s="14">
        <v>1.62</v>
      </c>
      <c r="J20" s="14">
        <v>1.39</v>
      </c>
      <c r="K20" s="16">
        <v>5</v>
      </c>
      <c r="L20" s="14" t="s">
        <v>22</v>
      </c>
      <c r="M20" s="17">
        <f t="shared" si="0"/>
        <v>3.1000000000000005</v>
      </c>
      <c r="N20" s="17">
        <f t="shared" si="1"/>
        <v>0.51070254907185408</v>
      </c>
      <c r="O20" s="17">
        <f t="shared" si="4"/>
        <v>-4.1249999999999991</v>
      </c>
      <c r="P20" s="17">
        <f t="shared" si="5"/>
        <v>9.6043919886050606</v>
      </c>
      <c r="V20" s="9"/>
      <c r="W20" s="3"/>
      <c r="X20" s="3"/>
      <c r="Y20" s="3"/>
      <c r="Z20" s="3"/>
    </row>
    <row r="21" spans="1:26" ht="15.75" customHeight="1">
      <c r="A21" s="13">
        <v>46310</v>
      </c>
      <c r="B21" s="13">
        <f t="shared" si="2"/>
        <v>46310</v>
      </c>
      <c r="C21" s="13" t="s">
        <v>40</v>
      </c>
      <c r="D21" s="11" t="s">
        <v>38</v>
      </c>
      <c r="E21" s="14" t="s">
        <v>55</v>
      </c>
      <c r="F21" s="14" t="s">
        <v>64</v>
      </c>
      <c r="G21" s="15">
        <v>5</v>
      </c>
      <c r="H21" s="18">
        <f t="shared" si="3"/>
        <v>6.5710872162485003</v>
      </c>
      <c r="I21" s="14">
        <v>1.35</v>
      </c>
      <c r="J21" s="14">
        <v>1.24</v>
      </c>
      <c r="K21" s="16">
        <v>5</v>
      </c>
      <c r="L21" s="14" t="s">
        <v>22</v>
      </c>
      <c r="M21" s="17">
        <f t="shared" si="0"/>
        <v>1.7500000000000004</v>
      </c>
      <c r="N21" s="17">
        <f t="shared" si="1"/>
        <v>0.32855436081242501</v>
      </c>
      <c r="O21" s="17">
        <f t="shared" si="4"/>
        <v>-2.3749999999999987</v>
      </c>
      <c r="P21" s="17">
        <f t="shared" si="5"/>
        <v>9.9329463494174863</v>
      </c>
      <c r="V21" s="9"/>
      <c r="W21" s="3"/>
      <c r="X21" s="3"/>
      <c r="Y21" s="3"/>
      <c r="Z21" s="3"/>
    </row>
    <row r="22" spans="1:26" ht="15.75" customHeight="1">
      <c r="A22" s="13">
        <v>46310</v>
      </c>
      <c r="B22" s="13">
        <f t="shared" si="2"/>
        <v>46310</v>
      </c>
      <c r="C22" s="13" t="s">
        <v>37</v>
      </c>
      <c r="D22" s="11" t="s">
        <v>24</v>
      </c>
      <c r="E22" s="14" t="s">
        <v>56</v>
      </c>
      <c r="F22" s="14" t="s">
        <v>63</v>
      </c>
      <c r="G22" s="15">
        <v>5</v>
      </c>
      <c r="H22" s="18">
        <f t="shared" si="3"/>
        <v>10.233918128654963</v>
      </c>
      <c r="I22" s="14">
        <v>1.8</v>
      </c>
      <c r="J22" s="14">
        <v>1.52</v>
      </c>
      <c r="K22" s="16">
        <v>5</v>
      </c>
      <c r="L22" s="14" t="s">
        <v>23</v>
      </c>
      <c r="M22" s="17">
        <f t="shared" si="0"/>
        <v>-5</v>
      </c>
      <c r="N22" s="17">
        <f t="shared" si="1"/>
        <v>0.5116959064327482</v>
      </c>
      <c r="O22" s="17">
        <f t="shared" si="4"/>
        <v>-7.3749999999999982</v>
      </c>
      <c r="P22" s="17">
        <f t="shared" si="5"/>
        <v>10.444642255850235</v>
      </c>
      <c r="V22" s="9"/>
      <c r="W22" s="3"/>
      <c r="X22" s="3"/>
      <c r="Y22" s="3"/>
      <c r="Z22" s="3"/>
    </row>
    <row r="23" spans="1:26" ht="15.75" customHeight="1">
      <c r="A23" s="13">
        <v>46310</v>
      </c>
      <c r="B23" s="13">
        <f t="shared" si="2"/>
        <v>46310</v>
      </c>
      <c r="C23" s="13" t="s">
        <v>37</v>
      </c>
      <c r="D23" s="11" t="s">
        <v>38</v>
      </c>
      <c r="E23" s="14" t="s">
        <v>57</v>
      </c>
      <c r="F23" s="14" t="s">
        <v>33</v>
      </c>
      <c r="G23" s="15">
        <v>5</v>
      </c>
      <c r="H23" s="18">
        <f t="shared" si="3"/>
        <v>9.6082779009608288</v>
      </c>
      <c r="I23" s="14">
        <v>1.23</v>
      </c>
      <c r="J23" s="14">
        <v>1.1000000000000001</v>
      </c>
      <c r="K23" s="16">
        <v>5</v>
      </c>
      <c r="L23" s="14" t="s">
        <v>23</v>
      </c>
      <c r="M23" s="17">
        <f t="shared" si="0"/>
        <v>-5</v>
      </c>
      <c r="N23" s="17">
        <f t="shared" si="1"/>
        <v>0.48041389504804144</v>
      </c>
      <c r="O23" s="17">
        <f t="shared" si="4"/>
        <v>-12.374999999999998</v>
      </c>
      <c r="P23" s="17">
        <f t="shared" si="5"/>
        <v>10.925056150898277</v>
      </c>
      <c r="V23" s="9"/>
      <c r="W23" s="3"/>
      <c r="X23" s="3"/>
      <c r="Y23" s="3"/>
      <c r="Z23" s="3"/>
    </row>
    <row r="24" spans="1:26" ht="15.75" customHeight="1">
      <c r="A24" s="13">
        <v>46310</v>
      </c>
      <c r="B24" s="13">
        <f t="shared" si="2"/>
        <v>46310</v>
      </c>
      <c r="C24" s="13" t="s">
        <v>37</v>
      </c>
      <c r="D24" s="11" t="s">
        <v>58</v>
      </c>
      <c r="E24" s="14" t="s">
        <v>59</v>
      </c>
      <c r="F24" s="14" t="s">
        <v>21</v>
      </c>
      <c r="G24" s="15">
        <v>5</v>
      </c>
      <c r="H24" s="18">
        <f t="shared" si="3"/>
        <v>5.9259259259259238</v>
      </c>
      <c r="I24" s="14">
        <v>1.35</v>
      </c>
      <c r="J24" s="14">
        <v>1.25</v>
      </c>
      <c r="K24" s="16">
        <v>5</v>
      </c>
      <c r="L24" s="14" t="s">
        <v>22</v>
      </c>
      <c r="M24" s="17">
        <f t="shared" si="0"/>
        <v>1.7500000000000004</v>
      </c>
      <c r="N24" s="17">
        <f t="shared" si="1"/>
        <v>0.29629629629629622</v>
      </c>
      <c r="O24" s="17">
        <f t="shared" si="4"/>
        <v>-10.624999999999998</v>
      </c>
      <c r="P24" s="17">
        <f t="shared" si="5"/>
        <v>11.221352447194572</v>
      </c>
      <c r="V24" s="9"/>
      <c r="W24" s="3"/>
      <c r="X24" s="3"/>
      <c r="Y24" s="3"/>
      <c r="Z24" s="3"/>
    </row>
    <row r="25" spans="1:26" ht="15.75" customHeight="1">
      <c r="A25" s="13">
        <v>46310</v>
      </c>
      <c r="B25" s="13">
        <f t="shared" si="2"/>
        <v>46310</v>
      </c>
      <c r="C25" s="13" t="s">
        <v>37</v>
      </c>
      <c r="D25" s="11" t="s">
        <v>24</v>
      </c>
      <c r="E25" s="14" t="s">
        <v>60</v>
      </c>
      <c r="F25" s="14" t="s">
        <v>61</v>
      </c>
      <c r="G25" s="15">
        <v>5</v>
      </c>
      <c r="H25" s="18">
        <f t="shared" si="3"/>
        <v>7.8849429130133117</v>
      </c>
      <c r="I25" s="14">
        <v>1.91</v>
      </c>
      <c r="J25" s="14">
        <v>1.66</v>
      </c>
      <c r="K25" s="16">
        <v>5</v>
      </c>
      <c r="L25" s="14" t="s">
        <v>22</v>
      </c>
      <c r="M25" s="17">
        <f t="shared" si="0"/>
        <v>4.55</v>
      </c>
      <c r="N25" s="17">
        <f t="shared" si="1"/>
        <v>0.39424714565066554</v>
      </c>
      <c r="O25" s="17">
        <f t="shared" si="4"/>
        <v>-6.0749999999999984</v>
      </c>
      <c r="P25" s="17">
        <f t="shared" si="5"/>
        <v>11.615599592845237</v>
      </c>
      <c r="V25" s="9"/>
      <c r="W25" s="3"/>
      <c r="X25" s="3"/>
      <c r="Y25" s="3"/>
      <c r="Z25" s="3"/>
    </row>
    <row r="26" spans="1:26" ht="15.75" customHeight="1">
      <c r="A26" s="13">
        <v>46310</v>
      </c>
      <c r="B26" s="13">
        <f t="shared" si="2"/>
        <v>46310</v>
      </c>
      <c r="C26" s="13" t="s">
        <v>37</v>
      </c>
      <c r="D26" s="11" t="s">
        <v>38</v>
      </c>
      <c r="E26" s="14" t="s">
        <v>62</v>
      </c>
      <c r="F26" s="14" t="s">
        <v>65</v>
      </c>
      <c r="G26" s="15">
        <v>5</v>
      </c>
      <c r="H26" s="18">
        <f t="shared" si="3"/>
        <v>10.452961672473869</v>
      </c>
      <c r="I26" s="14">
        <v>1.64</v>
      </c>
      <c r="J26" s="14">
        <v>1.4</v>
      </c>
      <c r="K26" s="16">
        <v>5</v>
      </c>
      <c r="L26" s="14" t="s">
        <v>23</v>
      </c>
      <c r="M26" s="17">
        <f t="shared" si="0"/>
        <v>-5</v>
      </c>
      <c r="N26" s="17">
        <f t="shared" si="1"/>
        <v>0.52264808362369342</v>
      </c>
      <c r="O26" s="17">
        <f t="shared" si="4"/>
        <v>-11.074999999999999</v>
      </c>
      <c r="P26" s="17">
        <f t="shared" si="5"/>
        <v>12.13824767646893</v>
      </c>
      <c r="V26" s="9"/>
      <c r="W26" s="3"/>
      <c r="X26" s="3"/>
      <c r="Y26" s="3"/>
      <c r="Z26" s="3"/>
    </row>
    <row r="27" spans="1:26" ht="15.75" customHeight="1">
      <c r="A27" s="13">
        <v>46311</v>
      </c>
      <c r="B27" s="13">
        <f t="shared" si="2"/>
        <v>46311</v>
      </c>
      <c r="C27" s="13" t="s">
        <v>67</v>
      </c>
      <c r="D27" s="11" t="s">
        <v>38</v>
      </c>
      <c r="E27" s="14" t="s">
        <v>68</v>
      </c>
      <c r="F27" s="14" t="s">
        <v>66</v>
      </c>
      <c r="G27" s="15">
        <v>5</v>
      </c>
      <c r="H27" s="18">
        <f t="shared" ref="H27:H67" si="6">SUM(100/J27-100/I27)</f>
        <v>12.820512820512818</v>
      </c>
      <c r="I27" s="14">
        <v>1.56</v>
      </c>
      <c r="J27" s="14">
        <v>1.3</v>
      </c>
      <c r="K27" s="16">
        <v>5</v>
      </c>
      <c r="L27" s="14" t="s">
        <v>23</v>
      </c>
      <c r="M27" s="17">
        <f t="shared" ref="M27:M67" si="7">IF(L27="Persa",-G27,G27*(I27-1))</f>
        <v>-5</v>
      </c>
      <c r="N27" s="17">
        <f t="shared" ref="N27:N67" si="8">+G27*(H27/100)</f>
        <v>0.64102564102564086</v>
      </c>
      <c r="O27" s="17">
        <f t="shared" ref="O27:O67" si="9">M27+O26</f>
        <v>-16.074999999999999</v>
      </c>
      <c r="P27" s="17">
        <f t="shared" ref="P27:P67" si="10">P26+N27</f>
        <v>12.779273317494571</v>
      </c>
      <c r="V27" s="3"/>
      <c r="W27" s="3"/>
      <c r="X27" s="3"/>
      <c r="Y27" s="3"/>
      <c r="Z27" s="3"/>
    </row>
    <row r="28" spans="1:26" ht="15.75" customHeight="1">
      <c r="A28" s="13">
        <v>46311</v>
      </c>
      <c r="B28" s="13">
        <f t="shared" ref="B28:B102" si="11">A28</f>
        <v>46311</v>
      </c>
      <c r="C28" s="13" t="s">
        <v>67</v>
      </c>
      <c r="D28" s="11" t="s">
        <v>38</v>
      </c>
      <c r="E28" s="14" t="s">
        <v>68</v>
      </c>
      <c r="F28" s="14" t="s">
        <v>30</v>
      </c>
      <c r="G28" s="15">
        <v>5</v>
      </c>
      <c r="H28" s="18">
        <f t="shared" si="6"/>
        <v>9.9712368168744021</v>
      </c>
      <c r="I28" s="14">
        <v>1.75</v>
      </c>
      <c r="J28" s="14">
        <v>1.49</v>
      </c>
      <c r="K28" s="16">
        <v>5</v>
      </c>
      <c r="L28" s="14" t="s">
        <v>23</v>
      </c>
      <c r="M28" s="17">
        <f t="shared" si="7"/>
        <v>-5</v>
      </c>
      <c r="N28" s="17">
        <f t="shared" si="8"/>
        <v>0.49856184084372007</v>
      </c>
      <c r="O28" s="17">
        <f t="shared" si="9"/>
        <v>-21.074999999999999</v>
      </c>
      <c r="P28" s="17">
        <f t="shared" si="10"/>
        <v>13.277835158338291</v>
      </c>
      <c r="V28" s="3"/>
      <c r="W28" s="3"/>
      <c r="X28" s="3"/>
      <c r="Y28" s="3"/>
      <c r="Z28" s="3"/>
    </row>
    <row r="29" spans="1:26" ht="15.75" customHeight="1">
      <c r="A29" s="13">
        <v>46311</v>
      </c>
      <c r="B29" s="13">
        <f t="shared" si="11"/>
        <v>46311</v>
      </c>
      <c r="C29" s="13" t="s">
        <v>67</v>
      </c>
      <c r="D29" s="11" t="s">
        <v>24</v>
      </c>
      <c r="E29" s="14" t="s">
        <v>68</v>
      </c>
      <c r="F29" s="14" t="s">
        <v>33</v>
      </c>
      <c r="G29" s="15">
        <v>5</v>
      </c>
      <c r="H29" s="18">
        <f t="shared" si="6"/>
        <v>6.410256410256423</v>
      </c>
      <c r="I29" s="14">
        <v>1.3</v>
      </c>
      <c r="J29" s="14">
        <v>1.2</v>
      </c>
      <c r="K29" s="16">
        <v>5</v>
      </c>
      <c r="L29" s="14" t="s">
        <v>22</v>
      </c>
      <c r="M29" s="17">
        <f t="shared" si="7"/>
        <v>1.5000000000000002</v>
      </c>
      <c r="N29" s="17">
        <f t="shared" si="8"/>
        <v>0.32051282051282115</v>
      </c>
      <c r="O29" s="17">
        <f t="shared" si="9"/>
        <v>-19.574999999999999</v>
      </c>
      <c r="P29" s="17">
        <f t="shared" si="10"/>
        <v>13.598347978851113</v>
      </c>
      <c r="V29" s="3"/>
      <c r="W29" s="3"/>
      <c r="X29" s="3"/>
      <c r="Y29" s="3"/>
      <c r="Z29" s="3"/>
    </row>
    <row r="30" spans="1:26" ht="15.75" customHeight="1">
      <c r="A30" s="13">
        <v>46311</v>
      </c>
      <c r="B30" s="13">
        <f t="shared" si="11"/>
        <v>46311</v>
      </c>
      <c r="C30" s="13" t="s">
        <v>69</v>
      </c>
      <c r="D30" s="11" t="s">
        <v>38</v>
      </c>
      <c r="E30" s="14" t="s">
        <v>70</v>
      </c>
      <c r="F30" s="14" t="s">
        <v>65</v>
      </c>
      <c r="G30" s="15">
        <v>5</v>
      </c>
      <c r="H30" s="18">
        <f t="shared" si="6"/>
        <v>4.0849673202614412</v>
      </c>
      <c r="I30" s="14">
        <v>1.53</v>
      </c>
      <c r="J30" s="14">
        <v>1.44</v>
      </c>
      <c r="K30" s="16">
        <v>5</v>
      </c>
      <c r="L30" s="14" t="s">
        <v>22</v>
      </c>
      <c r="M30" s="17">
        <f t="shared" si="7"/>
        <v>2.6500000000000004</v>
      </c>
      <c r="N30" s="17">
        <f t="shared" si="8"/>
        <v>0.20424836601307206</v>
      </c>
      <c r="O30" s="17">
        <f t="shared" si="9"/>
        <v>-16.924999999999997</v>
      </c>
      <c r="P30" s="17">
        <f t="shared" si="10"/>
        <v>13.802596344864185</v>
      </c>
      <c r="V30" s="3"/>
      <c r="W30" s="3"/>
      <c r="X30" s="3"/>
      <c r="Y30" s="3"/>
      <c r="Z30" s="3"/>
    </row>
    <row r="31" spans="1:26" ht="15.75" customHeight="1">
      <c r="A31" s="13">
        <v>46311</v>
      </c>
      <c r="B31" s="13">
        <f t="shared" si="11"/>
        <v>46311</v>
      </c>
      <c r="C31" s="13" t="s">
        <v>69</v>
      </c>
      <c r="D31" s="11" t="s">
        <v>24</v>
      </c>
      <c r="E31" s="14" t="s">
        <v>70</v>
      </c>
      <c r="F31" s="14" t="s">
        <v>54</v>
      </c>
      <c r="G31" s="15">
        <v>5</v>
      </c>
      <c r="H31" s="18">
        <f t="shared" si="6"/>
        <v>8.5470085470085451</v>
      </c>
      <c r="I31" s="14">
        <v>1.8</v>
      </c>
      <c r="J31" s="14">
        <v>1.56</v>
      </c>
      <c r="K31" s="16">
        <v>5</v>
      </c>
      <c r="L31" s="14" t="s">
        <v>23</v>
      </c>
      <c r="M31" s="17">
        <f t="shared" si="7"/>
        <v>-5</v>
      </c>
      <c r="N31" s="17">
        <f t="shared" si="8"/>
        <v>0.42735042735042722</v>
      </c>
      <c r="O31" s="17">
        <f t="shared" si="9"/>
        <v>-21.924999999999997</v>
      </c>
      <c r="P31" s="17">
        <f t="shared" si="10"/>
        <v>14.229946772214612</v>
      </c>
      <c r="V31" s="3"/>
      <c r="W31" s="3"/>
      <c r="X31" s="3"/>
      <c r="Y31" s="3"/>
      <c r="Z31" s="3"/>
    </row>
    <row r="32" spans="1:26" ht="15.75" customHeight="1">
      <c r="A32" s="13">
        <v>46311</v>
      </c>
      <c r="B32" s="13">
        <f t="shared" si="11"/>
        <v>46311</v>
      </c>
      <c r="C32" s="13" t="s">
        <v>71</v>
      </c>
      <c r="D32" s="11" t="s">
        <v>28</v>
      </c>
      <c r="E32" s="14" t="s">
        <v>72</v>
      </c>
      <c r="F32" s="14" t="s">
        <v>63</v>
      </c>
      <c r="G32" s="15">
        <v>5</v>
      </c>
      <c r="H32" s="18">
        <f t="shared" si="6"/>
        <v>12.179718513172141</v>
      </c>
      <c r="I32" s="14">
        <v>1.63</v>
      </c>
      <c r="J32" s="14">
        <v>1.36</v>
      </c>
      <c r="K32" s="16">
        <v>5</v>
      </c>
      <c r="L32" s="14" t="s">
        <v>22</v>
      </c>
      <c r="M32" s="17">
        <f t="shared" si="7"/>
        <v>3.1499999999999995</v>
      </c>
      <c r="N32" s="17">
        <f t="shared" si="8"/>
        <v>0.60898592565860699</v>
      </c>
      <c r="O32" s="17">
        <f t="shared" si="9"/>
        <v>-18.774999999999999</v>
      </c>
      <c r="P32" s="17">
        <f t="shared" si="10"/>
        <v>14.838932697873219</v>
      </c>
      <c r="V32" s="3"/>
      <c r="W32" s="3"/>
      <c r="X32" s="3"/>
      <c r="Y32" s="3"/>
      <c r="Z32" s="3"/>
    </row>
    <row r="33" spans="1:26" ht="15.75" customHeight="1">
      <c r="A33" s="13">
        <v>46311</v>
      </c>
      <c r="B33" s="13">
        <f t="shared" si="11"/>
        <v>46311</v>
      </c>
      <c r="C33" s="13" t="s">
        <v>71</v>
      </c>
      <c r="D33" s="11" t="s">
        <v>28</v>
      </c>
      <c r="E33" s="14" t="s">
        <v>72</v>
      </c>
      <c r="F33" s="14" t="s">
        <v>27</v>
      </c>
      <c r="G33" s="15">
        <v>5</v>
      </c>
      <c r="H33" s="18">
        <f t="shared" si="6"/>
        <v>7.6332236057439928</v>
      </c>
      <c r="I33" s="14">
        <v>1.53</v>
      </c>
      <c r="J33" s="14">
        <v>1.37</v>
      </c>
      <c r="K33" s="16">
        <v>5</v>
      </c>
      <c r="L33" s="14" t="s">
        <v>23</v>
      </c>
      <c r="M33" s="17">
        <f t="shared" si="7"/>
        <v>-5</v>
      </c>
      <c r="N33" s="17">
        <f t="shared" si="8"/>
        <v>0.38166118028719964</v>
      </c>
      <c r="O33" s="17">
        <f t="shared" si="9"/>
        <v>-23.774999999999999</v>
      </c>
      <c r="P33" s="17">
        <f t="shared" si="10"/>
        <v>15.220593878160418</v>
      </c>
      <c r="V33" s="3"/>
      <c r="W33" s="3"/>
      <c r="X33" s="3"/>
      <c r="Y33" s="3"/>
      <c r="Z33" s="3"/>
    </row>
    <row r="34" spans="1:26" ht="15.75" customHeight="1">
      <c r="A34" s="13">
        <v>46311</v>
      </c>
      <c r="B34" s="13">
        <f t="shared" si="11"/>
        <v>46311</v>
      </c>
      <c r="C34" s="13" t="s">
        <v>73</v>
      </c>
      <c r="D34" s="11" t="s">
        <v>74</v>
      </c>
      <c r="E34" s="14" t="s">
        <v>75</v>
      </c>
      <c r="F34" s="14" t="s">
        <v>63</v>
      </c>
      <c r="G34" s="15">
        <v>5</v>
      </c>
      <c r="H34" s="18">
        <f t="shared" si="6"/>
        <v>10.626628273687103</v>
      </c>
      <c r="I34" s="14">
        <v>1.87</v>
      </c>
      <c r="J34" s="14">
        <v>1.56</v>
      </c>
      <c r="K34" s="16">
        <v>5</v>
      </c>
      <c r="L34" s="14" t="s">
        <v>23</v>
      </c>
      <c r="M34" s="17">
        <f t="shared" si="7"/>
        <v>-5</v>
      </c>
      <c r="N34" s="17">
        <f t="shared" si="8"/>
        <v>0.53133141368435521</v>
      </c>
      <c r="O34" s="17">
        <f t="shared" si="9"/>
        <v>-28.774999999999999</v>
      </c>
      <c r="P34" s="17">
        <f t="shared" si="10"/>
        <v>15.751925291844774</v>
      </c>
      <c r="V34" s="3"/>
      <c r="W34" s="3"/>
      <c r="X34" s="3"/>
      <c r="Y34" s="3"/>
      <c r="Z34" s="3"/>
    </row>
    <row r="35" spans="1:26" ht="15.75" customHeight="1">
      <c r="A35" s="13">
        <v>46312</v>
      </c>
      <c r="B35" s="13">
        <f t="shared" si="11"/>
        <v>46312</v>
      </c>
      <c r="C35" s="13" t="s">
        <v>76</v>
      </c>
      <c r="D35" s="11" t="s">
        <v>38</v>
      </c>
      <c r="E35" s="14" t="s">
        <v>77</v>
      </c>
      <c r="F35" s="14" t="s">
        <v>65</v>
      </c>
      <c r="G35" s="15">
        <v>5</v>
      </c>
      <c r="H35" s="18">
        <f t="shared" si="6"/>
        <v>7.4300699300699335</v>
      </c>
      <c r="I35" s="14">
        <v>1.6</v>
      </c>
      <c r="J35" s="14">
        <v>1.43</v>
      </c>
      <c r="K35" s="16">
        <v>5</v>
      </c>
      <c r="L35" s="14" t="s">
        <v>22</v>
      </c>
      <c r="M35" s="17">
        <f t="shared" si="7"/>
        <v>3.0000000000000004</v>
      </c>
      <c r="N35" s="17">
        <f t="shared" si="8"/>
        <v>0.37150349650349668</v>
      </c>
      <c r="O35" s="17">
        <f t="shared" si="9"/>
        <v>-25.774999999999999</v>
      </c>
      <c r="P35" s="17">
        <f t="shared" si="10"/>
        <v>16.123428788348271</v>
      </c>
      <c r="V35" s="3"/>
      <c r="W35" s="3"/>
      <c r="X35" s="3"/>
      <c r="Y35" s="3"/>
      <c r="Z35" s="3"/>
    </row>
    <row r="36" spans="1:26" ht="15.75" customHeight="1">
      <c r="A36" s="13">
        <v>46312</v>
      </c>
      <c r="B36" s="13">
        <f t="shared" si="11"/>
        <v>46312</v>
      </c>
      <c r="C36" s="13" t="s">
        <v>73</v>
      </c>
      <c r="D36" s="11" t="s">
        <v>38</v>
      </c>
      <c r="E36" s="14" t="s">
        <v>78</v>
      </c>
      <c r="F36" s="14" t="s">
        <v>65</v>
      </c>
      <c r="G36" s="15">
        <v>5</v>
      </c>
      <c r="H36" s="18">
        <f t="shared" si="6"/>
        <v>1.2249897917517387</v>
      </c>
      <c r="I36" s="14">
        <v>1.58</v>
      </c>
      <c r="J36" s="14">
        <v>1.55</v>
      </c>
      <c r="K36" s="16">
        <v>5</v>
      </c>
      <c r="L36" s="14" t="s">
        <v>23</v>
      </c>
      <c r="M36" s="17">
        <f t="shared" si="7"/>
        <v>-5</v>
      </c>
      <c r="N36" s="17">
        <f t="shared" si="8"/>
        <v>6.1249489587586942E-2</v>
      </c>
      <c r="O36" s="17">
        <f t="shared" si="9"/>
        <v>-30.774999999999999</v>
      </c>
      <c r="P36" s="17">
        <f t="shared" si="10"/>
        <v>16.184678277935859</v>
      </c>
      <c r="V36" s="3"/>
      <c r="W36" s="3"/>
      <c r="X36" s="3"/>
      <c r="Y36" s="3"/>
      <c r="Z36" s="3"/>
    </row>
    <row r="37" spans="1:26" ht="15.75" customHeight="1">
      <c r="A37" s="13">
        <v>46312</v>
      </c>
      <c r="B37" s="13">
        <f t="shared" si="11"/>
        <v>46312</v>
      </c>
      <c r="C37" s="13" t="s">
        <v>35</v>
      </c>
      <c r="D37" s="11" t="s">
        <v>24</v>
      </c>
      <c r="E37" s="14" t="s">
        <v>79</v>
      </c>
      <c r="F37" s="14" t="s">
        <v>63</v>
      </c>
      <c r="G37" s="15">
        <v>5</v>
      </c>
      <c r="H37" s="18">
        <f t="shared" si="6"/>
        <v>5.9630292188431682</v>
      </c>
      <c r="I37" s="14">
        <v>1.72</v>
      </c>
      <c r="J37" s="14">
        <v>1.56</v>
      </c>
      <c r="K37" s="16">
        <v>5</v>
      </c>
      <c r="L37" s="14" t="s">
        <v>23</v>
      </c>
      <c r="M37" s="17">
        <f t="shared" si="7"/>
        <v>-5</v>
      </c>
      <c r="N37" s="17">
        <f t="shared" si="8"/>
        <v>0.29815146094215839</v>
      </c>
      <c r="O37" s="17">
        <f t="shared" si="9"/>
        <v>-35.774999999999999</v>
      </c>
      <c r="P37" s="17">
        <f t="shared" si="10"/>
        <v>16.482829738878017</v>
      </c>
      <c r="V37" s="3"/>
      <c r="W37" s="3"/>
      <c r="X37" s="3"/>
      <c r="Y37" s="3"/>
      <c r="Z37" s="3"/>
    </row>
    <row r="38" spans="1:26" ht="15.75" customHeight="1">
      <c r="A38" s="13">
        <v>46312</v>
      </c>
      <c r="B38" s="13">
        <f t="shared" si="11"/>
        <v>46312</v>
      </c>
      <c r="C38" s="13" t="s">
        <v>35</v>
      </c>
      <c r="D38" s="11" t="s">
        <v>80</v>
      </c>
      <c r="E38" s="14" t="s">
        <v>79</v>
      </c>
      <c r="F38" s="14">
        <v>2</v>
      </c>
      <c r="G38" s="15">
        <v>5</v>
      </c>
      <c r="H38" s="18">
        <f t="shared" si="6"/>
        <v>5.1516043567853913</v>
      </c>
      <c r="I38" s="14">
        <v>1.72</v>
      </c>
      <c r="J38" s="14">
        <v>1.58</v>
      </c>
      <c r="K38" s="16">
        <v>5</v>
      </c>
      <c r="L38" s="14" t="s">
        <v>23</v>
      </c>
      <c r="M38" s="17">
        <f t="shared" si="7"/>
        <v>-5</v>
      </c>
      <c r="N38" s="17">
        <f t="shared" si="8"/>
        <v>0.25758021783926954</v>
      </c>
      <c r="O38" s="17">
        <f t="shared" si="9"/>
        <v>-40.774999999999999</v>
      </c>
      <c r="P38" s="17">
        <f t="shared" si="10"/>
        <v>16.740409956717286</v>
      </c>
      <c r="V38" s="3"/>
      <c r="W38" s="3"/>
      <c r="X38" s="3"/>
      <c r="Y38" s="3"/>
      <c r="Z38" s="3"/>
    </row>
    <row r="39" spans="1:26" ht="15.75" customHeight="1">
      <c r="A39" s="13">
        <v>46312</v>
      </c>
      <c r="B39" s="13">
        <f t="shared" si="11"/>
        <v>46312</v>
      </c>
      <c r="C39" s="13" t="s">
        <v>69</v>
      </c>
      <c r="D39" s="11" t="s">
        <v>38</v>
      </c>
      <c r="E39" s="14" t="s">
        <v>81</v>
      </c>
      <c r="F39" s="14" t="s">
        <v>64</v>
      </c>
      <c r="G39" s="15">
        <v>5</v>
      </c>
      <c r="H39" s="18">
        <f t="shared" si="6"/>
        <v>9.8039215686274446</v>
      </c>
      <c r="I39" s="14">
        <v>1.8</v>
      </c>
      <c r="J39" s="14">
        <v>1.53</v>
      </c>
      <c r="K39" s="16">
        <v>5</v>
      </c>
      <c r="L39" s="14" t="s">
        <v>23</v>
      </c>
      <c r="M39" s="17">
        <f t="shared" si="7"/>
        <v>-5</v>
      </c>
      <c r="N39" s="17">
        <f t="shared" si="8"/>
        <v>0.4901960784313722</v>
      </c>
      <c r="O39" s="17">
        <f t="shared" si="9"/>
        <v>-45.774999999999999</v>
      </c>
      <c r="P39" s="17">
        <f t="shared" si="10"/>
        <v>17.230606035148657</v>
      </c>
      <c r="V39" s="3"/>
      <c r="W39" s="3"/>
      <c r="X39" s="3"/>
      <c r="Y39" s="3"/>
      <c r="Z39" s="3"/>
    </row>
    <row r="40" spans="1:26" ht="15.75" customHeight="1">
      <c r="A40" s="13">
        <v>46312</v>
      </c>
      <c r="B40" s="13">
        <f t="shared" si="11"/>
        <v>46312</v>
      </c>
      <c r="C40" s="13" t="s">
        <v>69</v>
      </c>
      <c r="D40" s="11" t="s">
        <v>82</v>
      </c>
      <c r="E40" s="14" t="s">
        <v>83</v>
      </c>
      <c r="F40" s="14" t="s">
        <v>30</v>
      </c>
      <c r="G40" s="15">
        <v>5</v>
      </c>
      <c r="H40" s="18">
        <f t="shared" si="6"/>
        <v>8.421985815602838</v>
      </c>
      <c r="I40" s="14">
        <v>1.6</v>
      </c>
      <c r="J40" s="14">
        <v>1.41</v>
      </c>
      <c r="K40" s="16">
        <v>5</v>
      </c>
      <c r="L40" s="14" t="s">
        <v>23</v>
      </c>
      <c r="M40" s="17">
        <f t="shared" si="7"/>
        <v>-5</v>
      </c>
      <c r="N40" s="17">
        <f t="shared" si="8"/>
        <v>0.42109929078014191</v>
      </c>
      <c r="O40" s="17">
        <f t="shared" si="9"/>
        <v>-50.774999999999999</v>
      </c>
      <c r="P40" s="17">
        <f t="shared" si="10"/>
        <v>17.651705325928798</v>
      </c>
      <c r="V40" s="3"/>
      <c r="W40" s="3"/>
      <c r="X40" s="3"/>
      <c r="Y40" s="3"/>
      <c r="Z40" s="3"/>
    </row>
    <row r="41" spans="1:26" ht="15.75" customHeight="1">
      <c r="A41" s="13">
        <v>46312</v>
      </c>
      <c r="B41" s="13">
        <f t="shared" si="11"/>
        <v>46312</v>
      </c>
      <c r="C41" s="13" t="s">
        <v>69</v>
      </c>
      <c r="D41" s="11" t="s">
        <v>82</v>
      </c>
      <c r="E41" s="14" t="s">
        <v>84</v>
      </c>
      <c r="F41" s="14" t="s">
        <v>44</v>
      </c>
      <c r="G41" s="15">
        <v>5</v>
      </c>
      <c r="H41" s="18">
        <f t="shared" si="6"/>
        <v>5.600068923925221</v>
      </c>
      <c r="I41" s="14">
        <v>1.59</v>
      </c>
      <c r="J41" s="14">
        <v>1.46</v>
      </c>
      <c r="K41" s="16">
        <v>5</v>
      </c>
      <c r="L41" s="14" t="s">
        <v>23</v>
      </c>
      <c r="M41" s="17">
        <f t="shared" si="7"/>
        <v>-5</v>
      </c>
      <c r="N41" s="17">
        <f t="shared" si="8"/>
        <v>0.28000344619626105</v>
      </c>
      <c r="O41" s="17">
        <f t="shared" si="9"/>
        <v>-55.774999999999999</v>
      </c>
      <c r="P41" s="17">
        <f t="shared" si="10"/>
        <v>17.931708772125059</v>
      </c>
      <c r="V41" s="3"/>
      <c r="W41" s="3"/>
      <c r="X41" s="3"/>
      <c r="Y41" s="3"/>
      <c r="Z41" s="3"/>
    </row>
    <row r="42" spans="1:26" ht="15.75" customHeight="1">
      <c r="A42" s="13">
        <v>46312</v>
      </c>
      <c r="B42" s="13">
        <f t="shared" si="11"/>
        <v>46312</v>
      </c>
      <c r="C42" s="13" t="s">
        <v>76</v>
      </c>
      <c r="D42" s="11" t="s">
        <v>24</v>
      </c>
      <c r="E42" s="14" t="s">
        <v>85</v>
      </c>
      <c r="F42" s="14" t="s">
        <v>66</v>
      </c>
      <c r="G42" s="15">
        <v>5</v>
      </c>
      <c r="H42" s="18">
        <f t="shared" si="6"/>
        <v>11.904761904761912</v>
      </c>
      <c r="I42" s="14">
        <v>1.4</v>
      </c>
      <c r="J42" s="14">
        <v>1.2</v>
      </c>
      <c r="K42" s="16">
        <v>5</v>
      </c>
      <c r="L42" s="14" t="s">
        <v>22</v>
      </c>
      <c r="M42" s="17">
        <f t="shared" si="7"/>
        <v>1.9999999999999996</v>
      </c>
      <c r="N42" s="17">
        <f t="shared" si="8"/>
        <v>0.59523809523809557</v>
      </c>
      <c r="O42" s="17">
        <f t="shared" si="9"/>
        <v>-53.774999999999999</v>
      </c>
      <c r="P42" s="17">
        <f t="shared" si="10"/>
        <v>18.526946867363154</v>
      </c>
      <c r="V42" s="3"/>
      <c r="W42" s="3"/>
      <c r="X42" s="3"/>
      <c r="Y42" s="3"/>
      <c r="Z42" s="3"/>
    </row>
    <row r="43" spans="1:26" ht="15.75" customHeight="1">
      <c r="A43" s="13">
        <v>46312</v>
      </c>
      <c r="B43" s="13">
        <f t="shared" si="11"/>
        <v>46312</v>
      </c>
      <c r="C43" s="13" t="s">
        <v>76</v>
      </c>
      <c r="D43" s="11" t="s">
        <v>82</v>
      </c>
      <c r="E43" s="14" t="s">
        <v>85</v>
      </c>
      <c r="F43" s="14" t="s">
        <v>30</v>
      </c>
      <c r="G43" s="15">
        <v>5</v>
      </c>
      <c r="H43" s="18">
        <f t="shared" si="6"/>
        <v>7.5893099148913024</v>
      </c>
      <c r="I43" s="14">
        <v>1.43</v>
      </c>
      <c r="J43" s="14">
        <v>1.29</v>
      </c>
      <c r="K43" s="16">
        <v>5</v>
      </c>
      <c r="L43" s="14" t="s">
        <v>22</v>
      </c>
      <c r="M43" s="17">
        <f t="shared" si="7"/>
        <v>2.1499999999999995</v>
      </c>
      <c r="N43" s="17">
        <f t="shared" si="8"/>
        <v>0.37946549574456512</v>
      </c>
      <c r="O43" s="17">
        <f t="shared" si="9"/>
        <v>-51.625</v>
      </c>
      <c r="P43" s="17">
        <f t="shared" si="10"/>
        <v>18.906412363107719</v>
      </c>
      <c r="V43" s="3"/>
      <c r="W43" s="3"/>
      <c r="X43" s="3"/>
      <c r="Y43" s="3"/>
      <c r="Z43" s="3"/>
    </row>
    <row r="44" spans="1:26" ht="15.75" customHeight="1">
      <c r="A44" s="13">
        <v>46312</v>
      </c>
      <c r="B44" s="13">
        <f t="shared" si="11"/>
        <v>46312</v>
      </c>
      <c r="C44" s="13" t="s">
        <v>35</v>
      </c>
      <c r="D44" s="11" t="s">
        <v>52</v>
      </c>
      <c r="E44" s="14" t="s">
        <v>86</v>
      </c>
      <c r="F44" s="14">
        <v>1</v>
      </c>
      <c r="G44" s="15">
        <v>5</v>
      </c>
      <c r="H44" s="18">
        <f t="shared" si="6"/>
        <v>10.671840892553959</v>
      </c>
      <c r="I44" s="14">
        <v>1.55</v>
      </c>
      <c r="J44" s="14">
        <v>1.33</v>
      </c>
      <c r="K44" s="16">
        <v>5</v>
      </c>
      <c r="L44" s="14" t="s">
        <v>22</v>
      </c>
      <c r="M44" s="17">
        <f t="shared" si="7"/>
        <v>2.75</v>
      </c>
      <c r="N44" s="17">
        <f t="shared" si="8"/>
        <v>0.53359204462769794</v>
      </c>
      <c r="O44" s="17">
        <f t="shared" si="9"/>
        <v>-48.875</v>
      </c>
      <c r="P44" s="17">
        <f t="shared" si="10"/>
        <v>19.440004407735419</v>
      </c>
      <c r="V44" s="3"/>
      <c r="W44" s="3"/>
      <c r="X44" s="3"/>
      <c r="Y44" s="3"/>
      <c r="Z44" s="3"/>
    </row>
    <row r="45" spans="1:26" ht="15.75" customHeight="1">
      <c r="A45" s="13">
        <v>46312</v>
      </c>
      <c r="B45" s="13">
        <f t="shared" si="11"/>
        <v>46312</v>
      </c>
      <c r="C45" s="13" t="s">
        <v>35</v>
      </c>
      <c r="D45" s="11" t="s">
        <v>52</v>
      </c>
      <c r="E45" s="14" t="s">
        <v>86</v>
      </c>
      <c r="F45" s="14" t="s">
        <v>61</v>
      </c>
      <c r="G45" s="15">
        <v>5</v>
      </c>
      <c r="H45" s="18">
        <f t="shared" si="6"/>
        <v>8.344030808729137</v>
      </c>
      <c r="I45" s="14">
        <v>1.9</v>
      </c>
      <c r="J45" s="14">
        <v>1.64</v>
      </c>
      <c r="K45" s="16">
        <v>5</v>
      </c>
      <c r="L45" s="14" t="s">
        <v>22</v>
      </c>
      <c r="M45" s="17">
        <f t="shared" si="7"/>
        <v>4.5</v>
      </c>
      <c r="N45" s="17">
        <f t="shared" si="8"/>
        <v>0.41720154043645685</v>
      </c>
      <c r="O45" s="17">
        <f t="shared" si="9"/>
        <v>-44.375</v>
      </c>
      <c r="P45" s="17">
        <f t="shared" si="10"/>
        <v>19.857205948171874</v>
      </c>
      <c r="V45" s="3"/>
      <c r="W45" s="3"/>
      <c r="X45" s="3"/>
      <c r="Y45" s="3"/>
      <c r="Z45" s="3"/>
    </row>
    <row r="46" spans="1:26" ht="15.75" customHeight="1">
      <c r="A46" s="13">
        <v>46313</v>
      </c>
      <c r="B46" s="13">
        <f t="shared" si="11"/>
        <v>46313</v>
      </c>
      <c r="C46" s="13" t="s">
        <v>35</v>
      </c>
      <c r="D46" s="11" t="s">
        <v>38</v>
      </c>
      <c r="E46" s="14" t="s">
        <v>87</v>
      </c>
      <c r="F46" s="14" t="s">
        <v>65</v>
      </c>
      <c r="G46" s="15">
        <v>5</v>
      </c>
      <c r="H46" s="18">
        <f t="shared" si="6"/>
        <v>12.126865671641781</v>
      </c>
      <c r="I46" s="14">
        <v>1.6</v>
      </c>
      <c r="J46" s="14">
        <v>1.34</v>
      </c>
      <c r="K46" s="16">
        <v>5</v>
      </c>
      <c r="L46" s="14" t="s">
        <v>22</v>
      </c>
      <c r="M46" s="17">
        <f t="shared" si="7"/>
        <v>3.0000000000000004</v>
      </c>
      <c r="N46" s="17">
        <f t="shared" si="8"/>
        <v>0.606343283582089</v>
      </c>
      <c r="O46" s="17">
        <f t="shared" si="9"/>
        <v>-41.375</v>
      </c>
      <c r="P46" s="17">
        <f t="shared" si="10"/>
        <v>20.463549231753962</v>
      </c>
      <c r="V46" s="3"/>
      <c r="W46" s="3"/>
      <c r="X46" s="3"/>
      <c r="Y46" s="3"/>
      <c r="Z46" s="3"/>
    </row>
    <row r="47" spans="1:26" ht="15.75" customHeight="1">
      <c r="A47" s="13">
        <v>46313</v>
      </c>
      <c r="B47" s="13">
        <f t="shared" si="11"/>
        <v>46313</v>
      </c>
      <c r="C47" s="13" t="s">
        <v>76</v>
      </c>
      <c r="D47" s="11" t="s">
        <v>88</v>
      </c>
      <c r="E47" s="14" t="s">
        <v>89</v>
      </c>
      <c r="F47" s="14" t="s">
        <v>63</v>
      </c>
      <c r="G47" s="15">
        <v>5</v>
      </c>
      <c r="H47" s="18">
        <f t="shared" si="6"/>
        <v>12.584314909896307</v>
      </c>
      <c r="I47" s="14">
        <v>1.54</v>
      </c>
      <c r="J47" s="14">
        <v>1.29</v>
      </c>
      <c r="K47" s="16">
        <v>5</v>
      </c>
      <c r="L47" s="14" t="s">
        <v>22</v>
      </c>
      <c r="M47" s="17">
        <f t="shared" si="7"/>
        <v>2.7</v>
      </c>
      <c r="N47" s="17">
        <f t="shared" si="8"/>
        <v>0.6292157454948154</v>
      </c>
      <c r="O47" s="17">
        <f t="shared" si="9"/>
        <v>-38.674999999999997</v>
      </c>
      <c r="P47" s="17">
        <f t="shared" si="10"/>
        <v>21.092764977248777</v>
      </c>
      <c r="V47" s="3"/>
      <c r="W47" s="3"/>
      <c r="X47" s="3"/>
      <c r="Y47" s="3"/>
      <c r="Z47" s="3"/>
    </row>
    <row r="48" spans="1:26" ht="15.75" customHeight="1">
      <c r="A48" s="13">
        <v>46313</v>
      </c>
      <c r="B48" s="13">
        <f t="shared" si="11"/>
        <v>46313</v>
      </c>
      <c r="C48" s="13" t="s">
        <v>76</v>
      </c>
      <c r="D48" s="11" t="s">
        <v>90</v>
      </c>
      <c r="E48" s="14" t="s">
        <v>89</v>
      </c>
      <c r="F48" s="14">
        <v>1</v>
      </c>
      <c r="G48" s="15">
        <v>5</v>
      </c>
      <c r="H48" s="18">
        <f t="shared" si="6"/>
        <v>10.54640417838489</v>
      </c>
      <c r="I48" s="14">
        <v>1.52</v>
      </c>
      <c r="J48" s="14">
        <v>1.31</v>
      </c>
      <c r="K48" s="16">
        <v>5</v>
      </c>
      <c r="L48" s="14" t="s">
        <v>22</v>
      </c>
      <c r="M48" s="17">
        <f t="shared" si="7"/>
        <v>2.6</v>
      </c>
      <c r="N48" s="17">
        <f t="shared" si="8"/>
        <v>0.52732020891924447</v>
      </c>
      <c r="O48" s="17">
        <f t="shared" si="9"/>
        <v>-36.074999999999996</v>
      </c>
      <c r="P48" s="17">
        <f t="shared" si="10"/>
        <v>21.620085186168023</v>
      </c>
      <c r="V48" s="3"/>
      <c r="W48" s="3"/>
      <c r="X48" s="3"/>
      <c r="Y48" s="3"/>
      <c r="Z48" s="3"/>
    </row>
    <row r="49" spans="1:26" ht="15.75" customHeight="1">
      <c r="A49" s="13">
        <v>46313</v>
      </c>
      <c r="B49" s="13">
        <f t="shared" si="11"/>
        <v>46313</v>
      </c>
      <c r="C49" s="13" t="s">
        <v>71</v>
      </c>
      <c r="D49" s="11" t="s">
        <v>26</v>
      </c>
      <c r="E49" s="14" t="s">
        <v>91</v>
      </c>
      <c r="F49" s="14">
        <v>1</v>
      </c>
      <c r="G49" s="15">
        <v>5</v>
      </c>
      <c r="H49" s="18">
        <f t="shared" si="6"/>
        <v>12.301587301587297</v>
      </c>
      <c r="I49" s="14">
        <v>1.75</v>
      </c>
      <c r="J49" s="14">
        <v>1.44</v>
      </c>
      <c r="K49" s="16">
        <v>5</v>
      </c>
      <c r="L49" s="14" t="s">
        <v>22</v>
      </c>
      <c r="M49" s="17">
        <f t="shared" si="7"/>
        <v>3.75</v>
      </c>
      <c r="N49" s="17">
        <f t="shared" si="8"/>
        <v>0.61507936507936489</v>
      </c>
      <c r="O49" s="17">
        <f t="shared" si="9"/>
        <v>-32.324999999999996</v>
      </c>
      <c r="P49" s="17">
        <f t="shared" si="10"/>
        <v>22.235164551247387</v>
      </c>
      <c r="V49" s="3"/>
      <c r="W49" s="3"/>
      <c r="X49" s="3"/>
      <c r="Y49" s="3"/>
      <c r="Z49" s="3"/>
    </row>
    <row r="50" spans="1:26" ht="15.75" customHeight="1">
      <c r="A50" s="13">
        <v>46313</v>
      </c>
      <c r="B50" s="13">
        <f t="shared" si="11"/>
        <v>46313</v>
      </c>
      <c r="C50" s="13" t="s">
        <v>69</v>
      </c>
      <c r="D50" s="11" t="s">
        <v>88</v>
      </c>
      <c r="E50" s="14" t="s">
        <v>92</v>
      </c>
      <c r="F50" s="14" t="s">
        <v>63</v>
      </c>
      <c r="G50" s="15">
        <v>5</v>
      </c>
      <c r="H50" s="18">
        <f t="shared" si="6"/>
        <v>12.605042016806721</v>
      </c>
      <c r="I50" s="14">
        <v>1.4</v>
      </c>
      <c r="J50" s="14">
        <v>1.19</v>
      </c>
      <c r="K50" s="16">
        <v>5</v>
      </c>
      <c r="L50" s="14" t="s">
        <v>22</v>
      </c>
      <c r="M50" s="17">
        <f t="shared" si="7"/>
        <v>1.9999999999999996</v>
      </c>
      <c r="N50" s="17">
        <f t="shared" si="8"/>
        <v>0.630252100840336</v>
      </c>
      <c r="O50" s="17">
        <f t="shared" si="9"/>
        <v>-30.324999999999996</v>
      </c>
      <c r="P50" s="17">
        <f t="shared" si="10"/>
        <v>22.865416652087724</v>
      </c>
      <c r="V50" s="3"/>
      <c r="W50" s="3"/>
      <c r="X50" s="3"/>
      <c r="Y50" s="3"/>
      <c r="Z50" s="3"/>
    </row>
    <row r="51" spans="1:26" ht="15.75" customHeight="1">
      <c r="A51" s="13">
        <v>46313</v>
      </c>
      <c r="B51" s="13">
        <f t="shared" si="11"/>
        <v>46313</v>
      </c>
      <c r="C51" s="13" t="s">
        <v>35</v>
      </c>
      <c r="D51" s="11" t="s">
        <v>24</v>
      </c>
      <c r="E51" s="14" t="s">
        <v>87</v>
      </c>
      <c r="F51" s="14" t="s">
        <v>47</v>
      </c>
      <c r="G51" s="15">
        <v>5</v>
      </c>
      <c r="H51" s="18">
        <f t="shared" si="6"/>
        <v>10.261502813637861</v>
      </c>
      <c r="I51" s="14">
        <v>1.9</v>
      </c>
      <c r="J51" s="14">
        <v>1.59</v>
      </c>
      <c r="K51" s="16">
        <v>5</v>
      </c>
      <c r="L51" s="14" t="s">
        <v>23</v>
      </c>
      <c r="M51" s="17">
        <f t="shared" si="7"/>
        <v>-5</v>
      </c>
      <c r="N51" s="17">
        <f t="shared" si="8"/>
        <v>0.51307514068189308</v>
      </c>
      <c r="O51" s="17">
        <f t="shared" si="9"/>
        <v>-35.324999999999996</v>
      </c>
      <c r="P51" s="17">
        <f t="shared" si="10"/>
        <v>23.378491792769616</v>
      </c>
      <c r="V51" s="3"/>
      <c r="W51" s="3"/>
      <c r="X51" s="3"/>
      <c r="Y51" s="3"/>
      <c r="Z51" s="3"/>
    </row>
    <row r="52" spans="1:26" ht="15.75" customHeight="1">
      <c r="A52" s="13">
        <v>46313</v>
      </c>
      <c r="B52" s="13">
        <f t="shared" si="11"/>
        <v>46313</v>
      </c>
      <c r="C52" s="13" t="s">
        <v>69</v>
      </c>
      <c r="D52" s="11" t="s">
        <v>26</v>
      </c>
      <c r="E52" s="14" t="s">
        <v>92</v>
      </c>
      <c r="F52" s="14" t="s">
        <v>27</v>
      </c>
      <c r="G52" s="15">
        <v>5</v>
      </c>
      <c r="H52" s="18">
        <f t="shared" si="6"/>
        <v>8.8370448921880467</v>
      </c>
      <c r="I52" s="14">
        <v>1.38</v>
      </c>
      <c r="J52" s="14">
        <v>1.23</v>
      </c>
      <c r="K52" s="16">
        <v>5</v>
      </c>
      <c r="L52" s="14" t="s">
        <v>22</v>
      </c>
      <c r="M52" s="17">
        <f t="shared" si="7"/>
        <v>1.8999999999999995</v>
      </c>
      <c r="N52" s="17">
        <f t="shared" si="8"/>
        <v>0.44185224460940231</v>
      </c>
      <c r="O52" s="17">
        <f t="shared" si="9"/>
        <v>-33.424999999999997</v>
      </c>
      <c r="P52" s="17">
        <f t="shared" si="10"/>
        <v>23.820344037379019</v>
      </c>
      <c r="V52" s="3"/>
      <c r="W52" s="3"/>
      <c r="X52" s="3"/>
      <c r="Y52" s="3"/>
      <c r="Z52" s="3"/>
    </row>
    <row r="53" spans="1:26" ht="15.75" customHeight="1">
      <c r="A53" s="13">
        <v>46313</v>
      </c>
      <c r="B53" s="13">
        <f t="shared" si="11"/>
        <v>46313</v>
      </c>
      <c r="C53" s="13" t="s">
        <v>71</v>
      </c>
      <c r="D53" s="11" t="s">
        <v>26</v>
      </c>
      <c r="E53" s="14" t="s">
        <v>91</v>
      </c>
      <c r="F53" s="14" t="s">
        <v>30</v>
      </c>
      <c r="G53" s="15">
        <v>5</v>
      </c>
      <c r="H53" s="18">
        <f t="shared" si="6"/>
        <v>7.9601990049751095</v>
      </c>
      <c r="I53" s="14">
        <v>1.5</v>
      </c>
      <c r="J53" s="14">
        <v>1.34</v>
      </c>
      <c r="K53" s="16">
        <v>5</v>
      </c>
      <c r="L53" s="14" t="s">
        <v>22</v>
      </c>
      <c r="M53" s="17">
        <f t="shared" si="7"/>
        <v>2.5</v>
      </c>
      <c r="N53" s="17">
        <f t="shared" si="8"/>
        <v>0.39800995024875546</v>
      </c>
      <c r="O53" s="17">
        <f t="shared" si="9"/>
        <v>-30.924999999999997</v>
      </c>
      <c r="P53" s="17">
        <f t="shared" si="10"/>
        <v>24.218353987627776</v>
      </c>
      <c r="V53" s="3"/>
      <c r="W53" s="3"/>
      <c r="X53" s="3"/>
      <c r="Y53" s="3"/>
      <c r="Z53" s="3"/>
    </row>
    <row r="54" spans="1:26" ht="15.75" customHeight="1">
      <c r="A54" s="13">
        <v>46313</v>
      </c>
      <c r="B54" s="13">
        <f t="shared" si="11"/>
        <v>46313</v>
      </c>
      <c r="C54" s="13" t="s">
        <v>35</v>
      </c>
      <c r="D54" s="11" t="s">
        <v>26</v>
      </c>
      <c r="E54" s="14" t="s">
        <v>87</v>
      </c>
      <c r="F54" s="14" t="s">
        <v>30</v>
      </c>
      <c r="G54" s="15">
        <v>5</v>
      </c>
      <c r="H54" s="18">
        <f t="shared" si="6"/>
        <v>6.7792431899420791</v>
      </c>
      <c r="I54" s="14">
        <v>1.33</v>
      </c>
      <c r="J54" s="14">
        <v>1.22</v>
      </c>
      <c r="K54" s="16">
        <v>5</v>
      </c>
      <c r="L54" s="14" t="s">
        <v>22</v>
      </c>
      <c r="M54" s="17">
        <f t="shared" si="7"/>
        <v>1.6500000000000004</v>
      </c>
      <c r="N54" s="17">
        <f t="shared" si="8"/>
        <v>0.33896215949710395</v>
      </c>
      <c r="O54" s="17">
        <f t="shared" si="9"/>
        <v>-29.274999999999999</v>
      </c>
      <c r="P54" s="17">
        <f t="shared" si="10"/>
        <v>24.55731614712488</v>
      </c>
      <c r="V54" s="3"/>
      <c r="W54" s="3"/>
      <c r="X54" s="3"/>
      <c r="Y54" s="3"/>
      <c r="Z54" s="3"/>
    </row>
    <row r="55" spans="1:26" ht="15.75" customHeight="1">
      <c r="A55" s="13">
        <v>46313</v>
      </c>
      <c r="B55" s="13">
        <f t="shared" si="11"/>
        <v>46313</v>
      </c>
      <c r="C55" s="13" t="s">
        <v>35</v>
      </c>
      <c r="D55" s="11" t="s">
        <v>28</v>
      </c>
      <c r="E55" s="14" t="s">
        <v>93</v>
      </c>
      <c r="F55" s="14" t="s">
        <v>30</v>
      </c>
      <c r="G55" s="15">
        <v>5</v>
      </c>
      <c r="H55" s="18">
        <f t="shared" si="6"/>
        <v>7.4786324786324769</v>
      </c>
      <c r="I55" s="14">
        <v>1.44</v>
      </c>
      <c r="J55" s="14">
        <v>1.3</v>
      </c>
      <c r="K55" s="16">
        <v>5</v>
      </c>
      <c r="L55" s="14" t="s">
        <v>23</v>
      </c>
      <c r="M55" s="17">
        <f t="shared" si="7"/>
        <v>-5</v>
      </c>
      <c r="N55" s="17">
        <f t="shared" si="8"/>
        <v>0.37393162393162382</v>
      </c>
      <c r="O55" s="17">
        <f t="shared" si="9"/>
        <v>-34.274999999999999</v>
      </c>
      <c r="P55" s="17">
        <f t="shared" si="10"/>
        <v>24.931247771056505</v>
      </c>
      <c r="V55" s="3"/>
      <c r="W55" s="3"/>
      <c r="X55" s="3"/>
      <c r="Y55" s="3"/>
      <c r="Z55" s="3"/>
    </row>
    <row r="56" spans="1:26" ht="15.75" customHeight="1">
      <c r="A56" s="13">
        <v>46313</v>
      </c>
      <c r="B56" s="13">
        <f t="shared" si="11"/>
        <v>46313</v>
      </c>
      <c r="C56" s="13" t="s">
        <v>35</v>
      </c>
      <c r="D56" s="11" t="s">
        <v>38</v>
      </c>
      <c r="E56" s="14" t="s">
        <v>94</v>
      </c>
      <c r="F56" s="14" t="s">
        <v>65</v>
      </c>
      <c r="G56" s="15">
        <v>5</v>
      </c>
      <c r="H56" s="18">
        <f t="shared" si="6"/>
        <v>13.112461208968909</v>
      </c>
      <c r="I56" s="14">
        <v>1.67</v>
      </c>
      <c r="J56" s="14">
        <v>1.37</v>
      </c>
      <c r="K56" s="16">
        <v>5</v>
      </c>
      <c r="L56" s="14" t="s">
        <v>22</v>
      </c>
      <c r="M56" s="17">
        <f t="shared" si="7"/>
        <v>3.3499999999999996</v>
      </c>
      <c r="N56" s="17">
        <f t="shared" si="8"/>
        <v>0.65562306044844543</v>
      </c>
      <c r="O56" s="17">
        <f t="shared" si="9"/>
        <v>-30.924999999999997</v>
      </c>
      <c r="P56" s="17">
        <f t="shared" si="10"/>
        <v>25.58687083150495</v>
      </c>
      <c r="V56" s="3"/>
      <c r="W56" s="3"/>
      <c r="X56" s="3"/>
      <c r="Y56" s="3"/>
      <c r="Z56" s="3"/>
    </row>
    <row r="57" spans="1:26" ht="15.75" customHeight="1">
      <c r="A57" s="13">
        <v>46313</v>
      </c>
      <c r="B57" s="13">
        <f t="shared" si="11"/>
        <v>46313</v>
      </c>
      <c r="C57" s="13" t="s">
        <v>35</v>
      </c>
      <c r="D57" s="11" t="s">
        <v>38</v>
      </c>
      <c r="E57" s="14" t="s">
        <v>93</v>
      </c>
      <c r="F57" s="14" t="s">
        <v>65</v>
      </c>
      <c r="G57" s="15">
        <v>5</v>
      </c>
      <c r="H57" s="18">
        <f t="shared" si="6"/>
        <v>11.574074074074076</v>
      </c>
      <c r="I57" s="14">
        <v>1.6</v>
      </c>
      <c r="J57" s="14">
        <v>1.35</v>
      </c>
      <c r="K57" s="16">
        <v>5</v>
      </c>
      <c r="L57" s="14" t="s">
        <v>22</v>
      </c>
      <c r="M57" s="17">
        <f t="shared" si="7"/>
        <v>3.0000000000000004</v>
      </c>
      <c r="N57" s="17">
        <f t="shared" si="8"/>
        <v>0.57870370370370372</v>
      </c>
      <c r="O57" s="17">
        <f t="shared" si="9"/>
        <v>-27.924999999999997</v>
      </c>
      <c r="P57" s="17">
        <f t="shared" si="10"/>
        <v>26.165574535208652</v>
      </c>
      <c r="V57" s="3"/>
      <c r="W57" s="3"/>
      <c r="X57" s="3"/>
      <c r="Y57" s="3"/>
      <c r="Z57" s="3"/>
    </row>
    <row r="58" spans="1:26" ht="15.75" customHeight="1">
      <c r="A58" s="13">
        <v>46315</v>
      </c>
      <c r="B58" s="13">
        <f t="shared" si="11"/>
        <v>46315</v>
      </c>
      <c r="C58" s="13" t="s">
        <v>36</v>
      </c>
      <c r="D58" s="11" t="s">
        <v>38</v>
      </c>
      <c r="E58" s="14" t="s">
        <v>95</v>
      </c>
      <c r="F58" s="14" t="s">
        <v>65</v>
      </c>
      <c r="G58" s="15">
        <v>5</v>
      </c>
      <c r="H58" s="18">
        <f t="shared" si="6"/>
        <v>5.5625086914198363</v>
      </c>
      <c r="I58" s="14">
        <v>1.53</v>
      </c>
      <c r="J58" s="14">
        <v>1.41</v>
      </c>
      <c r="K58" s="16">
        <v>5</v>
      </c>
      <c r="L58" s="14" t="s">
        <v>22</v>
      </c>
      <c r="M58" s="17">
        <f t="shared" si="7"/>
        <v>2.6500000000000004</v>
      </c>
      <c r="N58" s="17">
        <f t="shared" si="8"/>
        <v>0.27812543457099181</v>
      </c>
      <c r="O58" s="17">
        <f t="shared" si="9"/>
        <v>-25.274999999999999</v>
      </c>
      <c r="P58" s="17">
        <f t="shared" si="10"/>
        <v>26.443699969779644</v>
      </c>
      <c r="V58" s="3"/>
      <c r="W58" s="3"/>
      <c r="X58" s="3"/>
      <c r="Y58" s="3"/>
      <c r="Z58" s="3"/>
    </row>
    <row r="59" spans="1:26" ht="15.75" customHeight="1">
      <c r="A59" s="13">
        <v>46315</v>
      </c>
      <c r="B59" s="13">
        <f t="shared" si="11"/>
        <v>46315</v>
      </c>
      <c r="C59" s="13" t="s">
        <v>36</v>
      </c>
      <c r="D59" s="11" t="s">
        <v>38</v>
      </c>
      <c r="E59" s="14" t="s">
        <v>96</v>
      </c>
      <c r="F59" s="14" t="s">
        <v>65</v>
      </c>
      <c r="G59" s="15">
        <v>5</v>
      </c>
      <c r="H59" s="18">
        <f t="shared" si="6"/>
        <v>6.3308010129281627</v>
      </c>
      <c r="I59" s="14">
        <v>1.83</v>
      </c>
      <c r="J59" s="14">
        <v>1.64</v>
      </c>
      <c r="K59" s="16">
        <v>5</v>
      </c>
      <c r="L59" s="14" t="s">
        <v>23</v>
      </c>
      <c r="M59" s="17">
        <f t="shared" si="7"/>
        <v>-5</v>
      </c>
      <c r="N59" s="17">
        <f t="shared" si="8"/>
        <v>0.31654005064640811</v>
      </c>
      <c r="O59" s="17">
        <f t="shared" si="9"/>
        <v>-30.274999999999999</v>
      </c>
      <c r="P59" s="17">
        <f t="shared" si="10"/>
        <v>26.760240020426053</v>
      </c>
      <c r="V59" s="3"/>
      <c r="W59" s="3"/>
      <c r="X59" s="3"/>
      <c r="Y59" s="3"/>
      <c r="Z59" s="3"/>
    </row>
    <row r="60" spans="1:26" ht="15.75" customHeight="1">
      <c r="A60" s="13">
        <v>46316</v>
      </c>
      <c r="B60" s="13">
        <f t="shared" si="11"/>
        <v>46316</v>
      </c>
      <c r="C60" s="13" t="s">
        <v>36</v>
      </c>
      <c r="D60" s="11" t="s">
        <v>38</v>
      </c>
      <c r="E60" s="14" t="s">
        <v>97</v>
      </c>
      <c r="F60" s="14" t="s">
        <v>65</v>
      </c>
      <c r="G60" s="15">
        <v>5</v>
      </c>
      <c r="H60" s="18">
        <f t="shared" si="6"/>
        <v>10.953608247422679</v>
      </c>
      <c r="I60" s="14">
        <v>1.94</v>
      </c>
      <c r="J60" s="14">
        <v>1.6</v>
      </c>
      <c r="K60" s="16">
        <v>5</v>
      </c>
      <c r="L60" s="14" t="s">
        <v>22</v>
      </c>
      <c r="M60" s="17">
        <f t="shared" si="7"/>
        <v>4.6999999999999993</v>
      </c>
      <c r="N60" s="17">
        <f t="shared" si="8"/>
        <v>0.54768041237113396</v>
      </c>
      <c r="O60" s="17">
        <f t="shared" si="9"/>
        <v>-25.574999999999999</v>
      </c>
      <c r="P60" s="17">
        <f t="shared" si="10"/>
        <v>27.307920432797186</v>
      </c>
      <c r="V60" s="3"/>
      <c r="W60" s="3"/>
      <c r="X60" s="3"/>
      <c r="Y60" s="3"/>
      <c r="Z60" s="3"/>
    </row>
    <row r="61" spans="1:26" ht="15.75" customHeight="1">
      <c r="A61" s="13">
        <v>46316</v>
      </c>
      <c r="B61" s="13">
        <f t="shared" si="11"/>
        <v>46316</v>
      </c>
      <c r="C61" s="13" t="s">
        <v>36</v>
      </c>
      <c r="D61" s="11" t="s">
        <v>24</v>
      </c>
      <c r="E61" s="14" t="s">
        <v>98</v>
      </c>
      <c r="F61" s="14" t="s">
        <v>65</v>
      </c>
      <c r="G61" s="15">
        <v>5</v>
      </c>
      <c r="H61" s="18">
        <f t="shared" si="6"/>
        <v>12.469285216562149</v>
      </c>
      <c r="I61" s="14">
        <v>1.83</v>
      </c>
      <c r="J61" s="14">
        <v>1.49</v>
      </c>
      <c r="K61" s="16">
        <v>5</v>
      </c>
      <c r="L61" s="14" t="s">
        <v>22</v>
      </c>
      <c r="M61" s="17">
        <f t="shared" si="7"/>
        <v>4.1500000000000004</v>
      </c>
      <c r="N61" s="17">
        <f t="shared" si="8"/>
        <v>0.62346426082810735</v>
      </c>
      <c r="O61" s="17">
        <f t="shared" si="9"/>
        <v>-21.424999999999997</v>
      </c>
      <c r="P61" s="17">
        <f t="shared" si="10"/>
        <v>27.931384693625294</v>
      </c>
      <c r="V61" s="3"/>
      <c r="W61" s="3"/>
      <c r="X61" s="3"/>
      <c r="Y61" s="3"/>
      <c r="Z61" s="3"/>
    </row>
    <row r="62" spans="1:26" ht="15.75" customHeight="1">
      <c r="A62" s="13">
        <v>46317</v>
      </c>
      <c r="B62" s="13">
        <f t="shared" si="11"/>
        <v>46317</v>
      </c>
      <c r="C62" s="13" t="s">
        <v>37</v>
      </c>
      <c r="D62" s="11" t="s">
        <v>24</v>
      </c>
      <c r="E62" s="14" t="s">
        <v>99</v>
      </c>
      <c r="F62" s="14" t="s">
        <v>65</v>
      </c>
      <c r="G62" s="15">
        <v>5</v>
      </c>
      <c r="H62" s="18">
        <f t="shared" si="6"/>
        <v>9.6891060746482438</v>
      </c>
      <c r="I62" s="14">
        <v>1.66</v>
      </c>
      <c r="J62" s="14">
        <v>1.43</v>
      </c>
      <c r="K62" s="16">
        <v>5</v>
      </c>
      <c r="L62" s="14" t="s">
        <v>22</v>
      </c>
      <c r="M62" s="17">
        <f t="shared" si="7"/>
        <v>3.3</v>
      </c>
      <c r="N62" s="17">
        <f t="shared" si="8"/>
        <v>0.48445530373241219</v>
      </c>
      <c r="O62" s="17">
        <f t="shared" si="9"/>
        <v>-18.124999999999996</v>
      </c>
      <c r="P62" s="17">
        <f t="shared" si="10"/>
        <v>28.415839997357708</v>
      </c>
      <c r="V62" s="3"/>
      <c r="W62" s="3"/>
      <c r="X62" s="3"/>
      <c r="Y62" s="3"/>
      <c r="Z62" s="3"/>
    </row>
    <row r="63" spans="1:26" ht="15.75" customHeight="1">
      <c r="A63" s="13">
        <v>46317</v>
      </c>
      <c r="B63" s="13">
        <f t="shared" si="11"/>
        <v>46317</v>
      </c>
      <c r="C63" s="13" t="s">
        <v>40</v>
      </c>
      <c r="D63" s="11" t="s">
        <v>24</v>
      </c>
      <c r="E63" s="14" t="s">
        <v>100</v>
      </c>
      <c r="F63" s="14" t="s">
        <v>64</v>
      </c>
      <c r="G63" s="15">
        <v>5</v>
      </c>
      <c r="H63" s="18">
        <f t="shared" si="6"/>
        <v>11.728395061728392</v>
      </c>
      <c r="I63" s="14">
        <v>2</v>
      </c>
      <c r="J63" s="14">
        <v>1.62</v>
      </c>
      <c r="K63" s="16">
        <v>5</v>
      </c>
      <c r="L63" s="14" t="s">
        <v>23</v>
      </c>
      <c r="M63" s="17">
        <f t="shared" si="7"/>
        <v>-5</v>
      </c>
      <c r="N63" s="17">
        <f t="shared" si="8"/>
        <v>0.58641975308641958</v>
      </c>
      <c r="O63" s="17">
        <f t="shared" si="9"/>
        <v>-23.124999999999996</v>
      </c>
      <c r="P63" s="17">
        <f t="shared" si="10"/>
        <v>29.002259750444129</v>
      </c>
      <c r="V63" s="3"/>
      <c r="W63" s="3"/>
      <c r="X63" s="3"/>
      <c r="Y63" s="3"/>
      <c r="Z63" s="3"/>
    </row>
    <row r="64" spans="1:26" ht="15.75" customHeight="1">
      <c r="A64" s="13">
        <v>46317</v>
      </c>
      <c r="B64" s="13">
        <f t="shared" si="11"/>
        <v>46317</v>
      </c>
      <c r="C64" s="13" t="s">
        <v>40</v>
      </c>
      <c r="D64" s="11" t="s">
        <v>38</v>
      </c>
      <c r="E64" s="14" t="s">
        <v>101</v>
      </c>
      <c r="F64" s="14" t="s">
        <v>65</v>
      </c>
      <c r="G64" s="15">
        <v>5</v>
      </c>
      <c r="H64" s="18">
        <f t="shared" si="6"/>
        <v>4.0611885745228165</v>
      </c>
      <c r="I64" s="14">
        <v>1.78</v>
      </c>
      <c r="J64" s="14">
        <v>1.66</v>
      </c>
      <c r="K64" s="16">
        <v>5</v>
      </c>
      <c r="L64" s="14" t="s">
        <v>22</v>
      </c>
      <c r="M64" s="17">
        <f t="shared" si="7"/>
        <v>3.9000000000000004</v>
      </c>
      <c r="N64" s="17">
        <f t="shared" si="8"/>
        <v>0.20305942872614083</v>
      </c>
      <c r="O64" s="17">
        <f t="shared" si="9"/>
        <v>-19.224999999999994</v>
      </c>
      <c r="P64" s="17">
        <f t="shared" si="10"/>
        <v>29.205319179170271</v>
      </c>
      <c r="V64" s="3"/>
      <c r="W64" s="3"/>
      <c r="X64" s="3"/>
      <c r="Y64" s="3"/>
      <c r="Z64" s="3"/>
    </row>
    <row r="65" spans="1:26" ht="15.75" customHeight="1">
      <c r="A65" s="13">
        <v>46318</v>
      </c>
      <c r="B65" s="13">
        <f t="shared" si="11"/>
        <v>46318</v>
      </c>
      <c r="C65" s="13" t="s">
        <v>102</v>
      </c>
      <c r="D65" s="11" t="s">
        <v>19</v>
      </c>
      <c r="E65" s="14" t="s">
        <v>103</v>
      </c>
      <c r="F65" s="14" t="s">
        <v>66</v>
      </c>
      <c r="G65" s="15">
        <v>5</v>
      </c>
      <c r="H65" s="18">
        <f t="shared" si="6"/>
        <v>9.3723741193200141</v>
      </c>
      <c r="I65" s="14">
        <v>1.91</v>
      </c>
      <c r="J65" s="14">
        <v>1.62</v>
      </c>
      <c r="K65" s="16">
        <v>5</v>
      </c>
      <c r="L65" s="14" t="s">
        <v>22</v>
      </c>
      <c r="M65" s="17">
        <f t="shared" si="7"/>
        <v>4.55</v>
      </c>
      <c r="N65" s="17">
        <f t="shared" si="8"/>
        <v>0.46861870596600069</v>
      </c>
      <c r="O65" s="17">
        <f t="shared" si="9"/>
        <v>-14.674999999999994</v>
      </c>
      <c r="P65" s="17">
        <f t="shared" si="10"/>
        <v>29.673937885136272</v>
      </c>
      <c r="V65" s="3"/>
      <c r="W65" s="3"/>
      <c r="X65" s="3"/>
      <c r="Y65" s="3"/>
      <c r="Z65" s="3"/>
    </row>
    <row r="66" spans="1:26" ht="15.75" customHeight="1">
      <c r="A66" s="13">
        <v>46318</v>
      </c>
      <c r="B66" s="13">
        <f t="shared" si="11"/>
        <v>46318</v>
      </c>
      <c r="C66" s="13" t="s">
        <v>102</v>
      </c>
      <c r="D66" s="11" t="s">
        <v>19</v>
      </c>
      <c r="E66" s="14" t="s">
        <v>103</v>
      </c>
      <c r="F66" s="14" t="s">
        <v>51</v>
      </c>
      <c r="G66" s="15">
        <v>5</v>
      </c>
      <c r="H66" s="18">
        <f t="shared" si="6"/>
        <v>9.3723741193200141</v>
      </c>
      <c r="I66" s="14">
        <v>1.91</v>
      </c>
      <c r="J66" s="14">
        <v>1.62</v>
      </c>
      <c r="K66" s="16">
        <v>5</v>
      </c>
      <c r="L66" s="14" t="s">
        <v>22</v>
      </c>
      <c r="M66" s="17">
        <f t="shared" si="7"/>
        <v>4.55</v>
      </c>
      <c r="N66" s="17">
        <f t="shared" si="8"/>
        <v>0.46861870596600069</v>
      </c>
      <c r="O66" s="17">
        <f t="shared" si="9"/>
        <v>-10.124999999999993</v>
      </c>
      <c r="P66" s="17">
        <f t="shared" si="10"/>
        <v>30.142556591102274</v>
      </c>
      <c r="V66" s="3"/>
      <c r="W66" s="3"/>
      <c r="X66" s="3"/>
      <c r="Y66" s="3"/>
      <c r="Z66" s="3"/>
    </row>
    <row r="67" spans="1:26" ht="15.75" customHeight="1">
      <c r="A67" s="13">
        <v>46318</v>
      </c>
      <c r="B67" s="13">
        <f t="shared" si="11"/>
        <v>46318</v>
      </c>
      <c r="C67" s="13" t="s">
        <v>76</v>
      </c>
      <c r="D67" s="11" t="s">
        <v>19</v>
      </c>
      <c r="E67" s="14" t="s">
        <v>104</v>
      </c>
      <c r="F67" s="14" t="s">
        <v>44</v>
      </c>
      <c r="G67" s="15">
        <v>5</v>
      </c>
      <c r="H67" s="18">
        <f t="shared" si="6"/>
        <v>9.4280326838466308</v>
      </c>
      <c r="I67" s="14">
        <v>1.72</v>
      </c>
      <c r="J67" s="14">
        <v>1.48</v>
      </c>
      <c r="K67" s="16">
        <v>5</v>
      </c>
      <c r="L67" s="14" t="s">
        <v>22</v>
      </c>
      <c r="M67" s="17">
        <f t="shared" si="7"/>
        <v>3.5999999999999996</v>
      </c>
      <c r="N67" s="17">
        <f t="shared" si="8"/>
        <v>0.47140163419233155</v>
      </c>
      <c r="O67" s="17">
        <f t="shared" si="9"/>
        <v>-6.5249999999999932</v>
      </c>
      <c r="P67" s="17">
        <f t="shared" si="10"/>
        <v>30.613958225294606</v>
      </c>
      <c r="V67" s="3"/>
      <c r="W67" s="3"/>
      <c r="X67" s="3"/>
      <c r="Y67" s="3"/>
      <c r="Z67" s="3"/>
    </row>
    <row r="68" spans="1:26" ht="15.75" customHeight="1">
      <c r="A68" s="13">
        <v>46318</v>
      </c>
      <c r="B68" s="13">
        <f t="shared" si="11"/>
        <v>46318</v>
      </c>
      <c r="C68" s="13" t="s">
        <v>71</v>
      </c>
      <c r="D68" s="11" t="s">
        <v>26</v>
      </c>
      <c r="E68" s="14" t="s">
        <v>105</v>
      </c>
      <c r="F68" s="14" t="s">
        <v>44</v>
      </c>
      <c r="G68" s="15">
        <v>5</v>
      </c>
      <c r="H68" s="18">
        <f t="shared" ref="H68:H83" si="12">SUM(100/J68-100/I68)</f>
        <v>10.340632603406348</v>
      </c>
      <c r="I68" s="14">
        <v>1.37</v>
      </c>
      <c r="J68" s="14">
        <v>1.2</v>
      </c>
      <c r="K68" s="16">
        <v>5</v>
      </c>
      <c r="L68" s="14" t="s">
        <v>23</v>
      </c>
      <c r="M68" s="17">
        <f t="shared" ref="M68:M83" si="13">IF(L68="Persa",-G68,G68*(I68-1))</f>
        <v>-5</v>
      </c>
      <c r="N68" s="17">
        <f t="shared" ref="N68:N83" si="14">+G68*(H68/100)</f>
        <v>0.51703163017031739</v>
      </c>
      <c r="O68" s="17">
        <f t="shared" ref="O68:O83" si="15">M68+O67</f>
        <v>-11.524999999999993</v>
      </c>
      <c r="P68" s="17">
        <f t="shared" ref="P68:P83" si="16">P67+N68</f>
        <v>31.130989855464925</v>
      </c>
      <c r="V68" s="3"/>
      <c r="W68" s="3"/>
      <c r="X68" s="3"/>
      <c r="Y68" s="3"/>
      <c r="Z68" s="3"/>
    </row>
    <row r="69" spans="1:26" ht="15.75" customHeight="1">
      <c r="A69" s="13">
        <v>46318</v>
      </c>
      <c r="B69" s="13">
        <f t="shared" si="11"/>
        <v>46318</v>
      </c>
      <c r="C69" s="13" t="s">
        <v>71</v>
      </c>
      <c r="D69" s="11" t="s">
        <v>19</v>
      </c>
      <c r="E69" s="14" t="s">
        <v>105</v>
      </c>
      <c r="F69" s="14" t="s">
        <v>64</v>
      </c>
      <c r="G69" s="15">
        <v>5</v>
      </c>
      <c r="H69" s="18">
        <f t="shared" si="12"/>
        <v>8.6945721028443685</v>
      </c>
      <c r="I69" s="14">
        <v>1.94</v>
      </c>
      <c r="J69" s="14">
        <v>1.66</v>
      </c>
      <c r="K69" s="16">
        <v>5</v>
      </c>
      <c r="L69" s="14" t="s">
        <v>23</v>
      </c>
      <c r="M69" s="17">
        <f t="shared" si="13"/>
        <v>-5</v>
      </c>
      <c r="N69" s="17">
        <f t="shared" si="14"/>
        <v>0.43472860514221839</v>
      </c>
      <c r="O69" s="17">
        <f t="shared" si="15"/>
        <v>-16.524999999999991</v>
      </c>
      <c r="P69" s="17">
        <f t="shared" si="16"/>
        <v>31.565718460607144</v>
      </c>
      <c r="V69" s="3"/>
      <c r="W69" s="3"/>
      <c r="X69" s="3"/>
      <c r="Y69" s="3"/>
      <c r="Z69" s="3"/>
    </row>
    <row r="70" spans="1:26" ht="15.75" customHeight="1">
      <c r="A70" s="13">
        <v>46318</v>
      </c>
      <c r="B70" s="13">
        <f t="shared" si="11"/>
        <v>46318</v>
      </c>
      <c r="C70" s="13" t="s">
        <v>71</v>
      </c>
      <c r="D70" s="11" t="s">
        <v>38</v>
      </c>
      <c r="E70" s="14" t="s">
        <v>105</v>
      </c>
      <c r="F70" s="14" t="s">
        <v>65</v>
      </c>
      <c r="G70" s="15">
        <v>5</v>
      </c>
      <c r="H70" s="18">
        <f t="shared" si="12"/>
        <v>7.2121688958825132</v>
      </c>
      <c r="I70" s="14">
        <v>1.86</v>
      </c>
      <c r="J70" s="14">
        <v>1.64</v>
      </c>
      <c r="K70" s="16">
        <v>5</v>
      </c>
      <c r="L70" s="14" t="s">
        <v>22</v>
      </c>
      <c r="M70" s="17">
        <f t="shared" si="13"/>
        <v>4.3000000000000007</v>
      </c>
      <c r="N70" s="17">
        <f t="shared" si="14"/>
        <v>0.36060844479412568</v>
      </c>
      <c r="O70" s="17">
        <f t="shared" si="15"/>
        <v>-12.224999999999991</v>
      </c>
      <c r="P70" s="17">
        <f t="shared" si="16"/>
        <v>31.926326905401268</v>
      </c>
      <c r="V70" s="3"/>
      <c r="W70" s="3"/>
      <c r="X70" s="3"/>
      <c r="Y70" s="3"/>
      <c r="Z70" s="3"/>
    </row>
    <row r="71" spans="1:26" ht="15.75" customHeight="1">
      <c r="A71" s="13">
        <v>46319</v>
      </c>
      <c r="B71" s="13">
        <f t="shared" si="11"/>
        <v>46319</v>
      </c>
      <c r="C71" s="13" t="s">
        <v>35</v>
      </c>
      <c r="D71" s="11" t="s">
        <v>19</v>
      </c>
      <c r="E71" s="14" t="s">
        <v>106</v>
      </c>
      <c r="F71" s="14" t="s">
        <v>47</v>
      </c>
      <c r="G71" s="15">
        <v>5</v>
      </c>
      <c r="H71" s="18">
        <f t="shared" si="12"/>
        <v>11.091393078970711</v>
      </c>
      <c r="I71" s="14">
        <v>1.96</v>
      </c>
      <c r="J71" s="14">
        <v>1.61</v>
      </c>
      <c r="K71" s="16">
        <v>5</v>
      </c>
      <c r="L71" s="14" t="s">
        <v>23</v>
      </c>
      <c r="M71" s="17">
        <f t="shared" si="13"/>
        <v>-5</v>
      </c>
      <c r="N71" s="17">
        <f t="shared" si="14"/>
        <v>0.55456965394853552</v>
      </c>
      <c r="O71" s="17">
        <f t="shared" si="15"/>
        <v>-17.224999999999991</v>
      </c>
      <c r="P71" s="17">
        <f t="shared" si="16"/>
        <v>32.480896559349802</v>
      </c>
      <c r="V71" s="3"/>
      <c r="W71" s="3"/>
      <c r="X71" s="3"/>
      <c r="Y71" s="3"/>
      <c r="Z71" s="3"/>
    </row>
    <row r="72" spans="1:26" ht="15.75" customHeight="1">
      <c r="A72" s="13">
        <v>46319</v>
      </c>
      <c r="B72" s="13">
        <f t="shared" si="11"/>
        <v>46319</v>
      </c>
      <c r="C72" s="13" t="s">
        <v>69</v>
      </c>
      <c r="D72" s="11" t="s">
        <v>108</v>
      </c>
      <c r="E72" s="14" t="s">
        <v>107</v>
      </c>
      <c r="F72" s="14" t="s">
        <v>63</v>
      </c>
      <c r="G72" s="15">
        <v>5</v>
      </c>
      <c r="H72" s="18">
        <f t="shared" si="12"/>
        <v>11.626063520583415</v>
      </c>
      <c r="I72" s="14">
        <v>1.49</v>
      </c>
      <c r="J72" s="14">
        <v>1.27</v>
      </c>
      <c r="K72" s="16">
        <v>5</v>
      </c>
      <c r="L72" s="14" t="s">
        <v>23</v>
      </c>
      <c r="M72" s="17">
        <f t="shared" si="13"/>
        <v>-5</v>
      </c>
      <c r="N72" s="17">
        <f t="shared" si="14"/>
        <v>0.5813031760291707</v>
      </c>
      <c r="O72" s="17">
        <f t="shared" si="15"/>
        <v>-22.224999999999991</v>
      </c>
      <c r="P72" s="17">
        <f t="shared" si="16"/>
        <v>33.062199735378975</v>
      </c>
      <c r="V72" s="3"/>
      <c r="W72" s="3"/>
      <c r="X72" s="3"/>
      <c r="Y72" s="3"/>
      <c r="Z72" s="3"/>
    </row>
    <row r="73" spans="1:26" ht="15.75" customHeight="1">
      <c r="A73" s="13">
        <v>46319</v>
      </c>
      <c r="B73" s="13">
        <f t="shared" si="11"/>
        <v>46319</v>
      </c>
      <c r="C73" s="13" t="s">
        <v>110</v>
      </c>
      <c r="D73" s="11" t="s">
        <v>24</v>
      </c>
      <c r="E73" s="14" t="s">
        <v>109</v>
      </c>
      <c r="F73" s="14" t="s">
        <v>64</v>
      </c>
      <c r="G73" s="15">
        <v>5</v>
      </c>
      <c r="H73" s="18">
        <f t="shared" si="12"/>
        <v>10.181571355845925</v>
      </c>
      <c r="I73" s="14">
        <v>1.66</v>
      </c>
      <c r="J73" s="14">
        <v>1.42</v>
      </c>
      <c r="K73" s="16">
        <v>5</v>
      </c>
      <c r="L73" s="14" t="s">
        <v>22</v>
      </c>
      <c r="M73" s="17">
        <f t="shared" si="13"/>
        <v>3.3</v>
      </c>
      <c r="N73" s="17">
        <f t="shared" si="14"/>
        <v>0.50907856779229621</v>
      </c>
      <c r="O73" s="17">
        <f t="shared" si="15"/>
        <v>-18.92499999999999</v>
      </c>
      <c r="P73" s="17">
        <f t="shared" si="16"/>
        <v>33.571278303171269</v>
      </c>
      <c r="V73" s="3"/>
      <c r="W73" s="3"/>
      <c r="X73" s="3"/>
      <c r="Y73" s="3"/>
      <c r="Z73" s="3"/>
    </row>
    <row r="74" spans="1:26" ht="15.75" customHeight="1">
      <c r="A74" s="13">
        <v>46319</v>
      </c>
      <c r="B74" s="13">
        <f t="shared" si="11"/>
        <v>46319</v>
      </c>
      <c r="C74" s="13" t="s">
        <v>35</v>
      </c>
      <c r="D74" s="11" t="s">
        <v>19</v>
      </c>
      <c r="E74" s="14" t="s">
        <v>111</v>
      </c>
      <c r="F74" s="14" t="s">
        <v>64</v>
      </c>
      <c r="G74" s="15">
        <v>5</v>
      </c>
      <c r="H74" s="18">
        <f t="shared" si="12"/>
        <v>14.09443269908386</v>
      </c>
      <c r="I74" s="14">
        <v>2.15</v>
      </c>
      <c r="J74" s="14">
        <v>1.65</v>
      </c>
      <c r="K74" s="16">
        <v>5</v>
      </c>
      <c r="L74" s="14" t="s">
        <v>23</v>
      </c>
      <c r="M74" s="17">
        <f t="shared" si="13"/>
        <v>-5</v>
      </c>
      <c r="N74" s="17">
        <f t="shared" si="14"/>
        <v>0.70472163495419304</v>
      </c>
      <c r="O74" s="17">
        <f t="shared" si="15"/>
        <v>-23.92499999999999</v>
      </c>
      <c r="P74" s="17">
        <f t="shared" si="16"/>
        <v>34.275999938125459</v>
      </c>
      <c r="V74" s="3"/>
      <c r="W74" s="3"/>
      <c r="X74" s="3"/>
      <c r="Y74" s="3"/>
      <c r="Z74" s="3"/>
    </row>
    <row r="75" spans="1:26" ht="15.75" customHeight="1">
      <c r="A75" s="13">
        <v>46319</v>
      </c>
      <c r="B75" s="13">
        <f t="shared" si="11"/>
        <v>46319</v>
      </c>
      <c r="C75" s="13" t="s">
        <v>110</v>
      </c>
      <c r="D75" s="11" t="s">
        <v>24</v>
      </c>
      <c r="E75" s="14" t="s">
        <v>112</v>
      </c>
      <c r="F75" s="14" t="s">
        <v>63</v>
      </c>
      <c r="G75" s="15">
        <v>5</v>
      </c>
      <c r="H75" s="18">
        <f t="shared" si="12"/>
        <v>10.446343779677107</v>
      </c>
      <c r="I75" s="14">
        <v>1.95</v>
      </c>
      <c r="J75" s="14">
        <v>1.62</v>
      </c>
      <c r="K75" s="16">
        <v>5</v>
      </c>
      <c r="L75" s="14" t="s">
        <v>23</v>
      </c>
      <c r="M75" s="17">
        <f t="shared" si="13"/>
        <v>-5</v>
      </c>
      <c r="N75" s="17">
        <f t="shared" si="14"/>
        <v>0.52231718898385537</v>
      </c>
      <c r="O75" s="17">
        <f t="shared" si="15"/>
        <v>-28.92499999999999</v>
      </c>
      <c r="P75" s="17">
        <f t="shared" si="16"/>
        <v>34.798317127109314</v>
      </c>
      <c r="V75" s="3"/>
      <c r="W75" s="3"/>
      <c r="X75" s="3"/>
      <c r="Y75" s="3"/>
      <c r="Z75" s="3"/>
    </row>
    <row r="76" spans="1:26" ht="15.75" customHeight="1">
      <c r="A76" s="13">
        <v>46319</v>
      </c>
      <c r="B76" s="13">
        <f t="shared" si="11"/>
        <v>46319</v>
      </c>
      <c r="C76" s="13" t="s">
        <v>35</v>
      </c>
      <c r="D76" s="11" t="s">
        <v>88</v>
      </c>
      <c r="E76" s="14" t="s">
        <v>113</v>
      </c>
      <c r="F76" s="14" t="s">
        <v>47</v>
      </c>
      <c r="G76" s="15">
        <v>5</v>
      </c>
      <c r="H76" s="18">
        <f t="shared" si="12"/>
        <v>6.8731301043098583</v>
      </c>
      <c r="I76" s="14">
        <v>1.66</v>
      </c>
      <c r="J76" s="14">
        <v>1.49</v>
      </c>
      <c r="K76" s="16">
        <v>5</v>
      </c>
      <c r="L76" s="14" t="s">
        <v>22</v>
      </c>
      <c r="M76" s="17">
        <f t="shared" si="13"/>
        <v>3.3</v>
      </c>
      <c r="N76" s="17">
        <f t="shared" si="14"/>
        <v>0.34365650521549296</v>
      </c>
      <c r="O76" s="17">
        <f t="shared" si="15"/>
        <v>-25.624999999999989</v>
      </c>
      <c r="P76" s="17">
        <f t="shared" si="16"/>
        <v>35.141973632324806</v>
      </c>
      <c r="V76" s="3"/>
      <c r="W76" s="3"/>
      <c r="X76" s="3"/>
      <c r="Y76" s="3"/>
      <c r="Z76" s="3"/>
    </row>
    <row r="77" spans="1:26" ht="15.75" customHeight="1">
      <c r="A77" s="13">
        <v>46319</v>
      </c>
      <c r="B77" s="13">
        <f t="shared" si="11"/>
        <v>46319</v>
      </c>
      <c r="C77" s="13" t="s">
        <v>69</v>
      </c>
      <c r="D77" s="11" t="s">
        <v>26</v>
      </c>
      <c r="E77" s="14" t="s">
        <v>114</v>
      </c>
      <c r="F77" s="14">
        <v>1</v>
      </c>
      <c r="G77" s="15">
        <v>5</v>
      </c>
      <c r="H77" s="18">
        <f t="shared" si="12"/>
        <v>8.1900081900081858</v>
      </c>
      <c r="I77" s="14">
        <v>1.48</v>
      </c>
      <c r="J77" s="14">
        <v>1.32</v>
      </c>
      <c r="K77" s="16">
        <v>5</v>
      </c>
      <c r="L77" s="14" t="s">
        <v>22</v>
      </c>
      <c r="M77" s="17">
        <f t="shared" si="13"/>
        <v>2.4</v>
      </c>
      <c r="N77" s="17">
        <f t="shared" si="14"/>
        <v>0.40950040950040928</v>
      </c>
      <c r="O77" s="17">
        <f t="shared" si="15"/>
        <v>-23.224999999999991</v>
      </c>
      <c r="P77" s="17">
        <f t="shared" si="16"/>
        <v>35.551474041825216</v>
      </c>
      <c r="V77" s="3"/>
      <c r="W77" s="3"/>
      <c r="X77" s="3"/>
      <c r="Y77" s="3"/>
      <c r="Z77" s="3"/>
    </row>
    <row r="78" spans="1:26" ht="15.75" customHeight="1">
      <c r="A78" s="13">
        <v>46319</v>
      </c>
      <c r="B78" s="13">
        <f t="shared" si="11"/>
        <v>46319</v>
      </c>
      <c r="C78" s="13" t="s">
        <v>76</v>
      </c>
      <c r="D78" s="11" t="s">
        <v>26</v>
      </c>
      <c r="E78" s="14" t="s">
        <v>115</v>
      </c>
      <c r="F78" s="14">
        <v>1</v>
      </c>
      <c r="G78" s="15">
        <v>5</v>
      </c>
      <c r="H78" s="18">
        <f t="shared" si="12"/>
        <v>6.8799449604403122</v>
      </c>
      <c r="I78" s="14">
        <v>1.71</v>
      </c>
      <c r="J78" s="14">
        <v>1.53</v>
      </c>
      <c r="K78" s="16">
        <v>5</v>
      </c>
      <c r="L78" s="14" t="s">
        <v>23</v>
      </c>
      <c r="M78" s="17">
        <f t="shared" si="13"/>
        <v>-5</v>
      </c>
      <c r="N78" s="17">
        <f t="shared" si="14"/>
        <v>0.34399724802201559</v>
      </c>
      <c r="O78" s="17">
        <f t="shared" si="15"/>
        <v>-28.224999999999991</v>
      </c>
      <c r="P78" s="17">
        <f t="shared" si="16"/>
        <v>35.895471289847229</v>
      </c>
      <c r="V78" s="3"/>
      <c r="W78" s="3"/>
      <c r="X78" s="3"/>
      <c r="Y78" s="3"/>
      <c r="Z78" s="3"/>
    </row>
    <row r="79" spans="1:26" ht="15.75" customHeight="1">
      <c r="A79" s="13">
        <v>46319</v>
      </c>
      <c r="B79" s="13">
        <f t="shared" si="11"/>
        <v>46319</v>
      </c>
      <c r="C79" s="13" t="s">
        <v>110</v>
      </c>
      <c r="D79" s="11" t="s">
        <v>41</v>
      </c>
      <c r="E79" s="14" t="s">
        <v>112</v>
      </c>
      <c r="F79" s="14">
        <v>1</v>
      </c>
      <c r="G79" s="15">
        <v>5</v>
      </c>
      <c r="H79" s="18">
        <f t="shared" si="12"/>
        <v>5.4218173931901958</v>
      </c>
      <c r="I79" s="14">
        <v>1.74</v>
      </c>
      <c r="J79" s="14">
        <v>1.59</v>
      </c>
      <c r="K79" s="16">
        <v>5</v>
      </c>
      <c r="L79" s="14" t="s">
        <v>23</v>
      </c>
      <c r="M79" s="17">
        <f t="shared" si="13"/>
        <v>-5</v>
      </c>
      <c r="N79" s="17">
        <f t="shared" si="14"/>
        <v>0.27109086965950979</v>
      </c>
      <c r="O79" s="17">
        <f t="shared" si="15"/>
        <v>-33.224999999999994</v>
      </c>
      <c r="P79" s="17">
        <f t="shared" si="16"/>
        <v>36.166562159506739</v>
      </c>
      <c r="V79" s="3"/>
      <c r="W79" s="3"/>
      <c r="X79" s="3"/>
      <c r="Y79" s="3"/>
      <c r="Z79" s="3"/>
    </row>
    <row r="80" spans="1:26" ht="15.75" customHeight="1">
      <c r="A80" s="13">
        <v>46319</v>
      </c>
      <c r="B80" s="13">
        <f t="shared" si="11"/>
        <v>46319</v>
      </c>
      <c r="C80" s="13" t="s">
        <v>76</v>
      </c>
      <c r="D80" s="11" t="s">
        <v>19</v>
      </c>
      <c r="E80" s="14" t="s">
        <v>116</v>
      </c>
      <c r="F80" s="14" t="s">
        <v>61</v>
      </c>
      <c r="G80" s="15">
        <v>5</v>
      </c>
      <c r="H80" s="18">
        <f t="shared" si="12"/>
        <v>5.8624732740188961</v>
      </c>
      <c r="I80" s="14">
        <v>1.79</v>
      </c>
      <c r="J80" s="14">
        <v>1.62</v>
      </c>
      <c r="K80" s="16">
        <v>5</v>
      </c>
      <c r="L80" s="14" t="s">
        <v>22</v>
      </c>
      <c r="M80" s="17">
        <f t="shared" si="13"/>
        <v>3.95</v>
      </c>
      <c r="N80" s="17">
        <f t="shared" si="14"/>
        <v>0.29312366370094478</v>
      </c>
      <c r="O80" s="17">
        <f t="shared" si="15"/>
        <v>-29.274999999999995</v>
      </c>
      <c r="P80" s="17">
        <f t="shared" si="16"/>
        <v>36.459685823207685</v>
      </c>
      <c r="V80" s="3"/>
      <c r="W80" s="3"/>
      <c r="X80" s="3"/>
      <c r="Y80" s="3"/>
      <c r="Z80" s="3"/>
    </row>
    <row r="81" spans="1:26" ht="15.75" customHeight="1">
      <c r="A81" s="13">
        <v>46319</v>
      </c>
      <c r="B81" s="13">
        <f t="shared" si="11"/>
        <v>46319</v>
      </c>
      <c r="C81" s="13" t="s">
        <v>35</v>
      </c>
      <c r="D81" s="11" t="s">
        <v>24</v>
      </c>
      <c r="E81" s="14" t="s">
        <v>117</v>
      </c>
      <c r="F81" s="14" t="s">
        <v>65</v>
      </c>
      <c r="G81" s="15">
        <v>5</v>
      </c>
      <c r="H81" s="18">
        <f t="shared" si="12"/>
        <v>8.1387119603680063</v>
      </c>
      <c r="I81" s="14">
        <v>1.8</v>
      </c>
      <c r="J81" s="14">
        <v>1.57</v>
      </c>
      <c r="K81" s="16">
        <v>5</v>
      </c>
      <c r="L81" s="14" t="s">
        <v>23</v>
      </c>
      <c r="M81" s="17">
        <f t="shared" si="13"/>
        <v>-5</v>
      </c>
      <c r="N81" s="17">
        <f t="shared" si="14"/>
        <v>0.40693559801840029</v>
      </c>
      <c r="O81" s="17">
        <f t="shared" si="15"/>
        <v>-34.274999999999991</v>
      </c>
      <c r="P81" s="17">
        <f t="shared" si="16"/>
        <v>36.866621421226085</v>
      </c>
      <c r="V81" s="3"/>
      <c r="W81" s="3"/>
      <c r="X81" s="3"/>
      <c r="Y81" s="3"/>
      <c r="Z81" s="3"/>
    </row>
    <row r="82" spans="1:26" ht="15.75" customHeight="1">
      <c r="A82" s="13">
        <v>46319</v>
      </c>
      <c r="B82" s="13">
        <f t="shared" si="11"/>
        <v>46319</v>
      </c>
      <c r="C82" s="13" t="s">
        <v>71</v>
      </c>
      <c r="D82" s="11" t="s">
        <v>24</v>
      </c>
      <c r="E82" s="14" t="s">
        <v>118</v>
      </c>
      <c r="F82" s="14" t="s">
        <v>65</v>
      </c>
      <c r="G82" s="15">
        <v>5</v>
      </c>
      <c r="H82" s="18">
        <f t="shared" si="12"/>
        <v>7.3266037121458751</v>
      </c>
      <c r="I82" s="14">
        <v>1.66</v>
      </c>
      <c r="J82" s="14">
        <v>1.48</v>
      </c>
      <c r="K82" s="16">
        <v>5</v>
      </c>
      <c r="L82" s="14" t="s">
        <v>23</v>
      </c>
      <c r="M82" s="17">
        <f t="shared" si="13"/>
        <v>-5</v>
      </c>
      <c r="N82" s="17">
        <f t="shared" si="14"/>
        <v>0.36633018560729375</v>
      </c>
      <c r="O82" s="17">
        <f t="shared" si="15"/>
        <v>-39.274999999999991</v>
      </c>
      <c r="P82" s="17">
        <f t="shared" si="16"/>
        <v>37.232951606833382</v>
      </c>
      <c r="V82" s="3"/>
      <c r="W82" s="3"/>
      <c r="X82" s="3"/>
      <c r="Y82" s="3"/>
      <c r="Z82" s="3"/>
    </row>
    <row r="83" spans="1:26" ht="15.75" customHeight="1">
      <c r="A83" s="13">
        <v>46319</v>
      </c>
      <c r="B83" s="13">
        <f t="shared" si="11"/>
        <v>46319</v>
      </c>
      <c r="C83" s="13" t="s">
        <v>35</v>
      </c>
      <c r="D83" s="11" t="s">
        <v>28</v>
      </c>
      <c r="E83" s="14" t="s">
        <v>106</v>
      </c>
      <c r="F83" s="14" t="s">
        <v>61</v>
      </c>
      <c r="G83" s="15">
        <v>5</v>
      </c>
      <c r="H83" s="18">
        <f t="shared" si="12"/>
        <v>5.9630292188431682</v>
      </c>
      <c r="I83" s="14">
        <v>1.72</v>
      </c>
      <c r="J83" s="14">
        <v>1.56</v>
      </c>
      <c r="K83" s="16">
        <v>5</v>
      </c>
      <c r="L83" s="14" t="s">
        <v>23</v>
      </c>
      <c r="M83" s="17">
        <f t="shared" si="13"/>
        <v>-5</v>
      </c>
      <c r="N83" s="17">
        <f t="shared" si="14"/>
        <v>0.29815146094215839</v>
      </c>
      <c r="O83" s="17">
        <f t="shared" si="15"/>
        <v>-44.274999999999991</v>
      </c>
      <c r="P83" s="17">
        <f t="shared" si="16"/>
        <v>37.53110306777554</v>
      </c>
      <c r="V83" s="3"/>
      <c r="W83" s="3"/>
      <c r="X83" s="3"/>
      <c r="Y83" s="3"/>
      <c r="Z83" s="3"/>
    </row>
    <row r="84" spans="1:26" ht="15.75" customHeight="1">
      <c r="A84" s="13">
        <v>46319</v>
      </c>
      <c r="B84" s="13">
        <f t="shared" si="11"/>
        <v>46319</v>
      </c>
      <c r="C84" s="13" t="s">
        <v>35</v>
      </c>
      <c r="D84" s="11" t="s">
        <v>19</v>
      </c>
      <c r="E84" s="14" t="s">
        <v>119</v>
      </c>
      <c r="F84" s="14" t="s">
        <v>66</v>
      </c>
      <c r="G84" s="15">
        <v>5</v>
      </c>
      <c r="H84" s="18">
        <f t="shared" ref="H84:H91" si="17">SUM(100/J84-100/I84)</f>
        <v>6.7955300513439951</v>
      </c>
      <c r="I84" s="14">
        <v>1.72</v>
      </c>
      <c r="J84" s="14">
        <v>1.54</v>
      </c>
      <c r="K84" s="16">
        <v>5</v>
      </c>
      <c r="L84" s="14" t="s">
        <v>23</v>
      </c>
      <c r="M84" s="17">
        <f t="shared" ref="M84:M91" si="18">IF(L84="Persa",-G84,G84*(I84-1))</f>
        <v>-5</v>
      </c>
      <c r="N84" s="17">
        <f t="shared" ref="N84:N91" si="19">+G84*(H84/100)</f>
        <v>0.33977650256719977</v>
      </c>
      <c r="O84" s="17">
        <f t="shared" ref="O84:O91" si="20">M84+O83</f>
        <v>-49.274999999999991</v>
      </c>
      <c r="P84" s="17">
        <f t="shared" ref="P84:P91" si="21">P83+N84</f>
        <v>37.870879570342737</v>
      </c>
      <c r="V84" s="3"/>
      <c r="W84" s="3"/>
      <c r="X84" s="3"/>
      <c r="Y84" s="3"/>
      <c r="Z84" s="3"/>
    </row>
    <row r="85" spans="1:26" ht="15.75" customHeight="1">
      <c r="A85" s="13">
        <v>46319</v>
      </c>
      <c r="B85" s="13">
        <f t="shared" si="11"/>
        <v>46319</v>
      </c>
      <c r="C85" s="13" t="s">
        <v>35</v>
      </c>
      <c r="D85" s="11" t="s">
        <v>19</v>
      </c>
      <c r="E85" s="14" t="s">
        <v>106</v>
      </c>
      <c r="F85" s="14" t="s">
        <v>66</v>
      </c>
      <c r="G85" s="15">
        <v>5</v>
      </c>
      <c r="H85" s="18">
        <f t="shared" si="17"/>
        <v>6.37659414853713</v>
      </c>
      <c r="I85" s="14">
        <v>1.72</v>
      </c>
      <c r="J85" s="14">
        <v>1.55</v>
      </c>
      <c r="K85" s="16">
        <v>5</v>
      </c>
      <c r="L85" s="14" t="s">
        <v>22</v>
      </c>
      <c r="M85" s="17">
        <f t="shared" si="18"/>
        <v>3.5999999999999996</v>
      </c>
      <c r="N85" s="17">
        <f t="shared" si="19"/>
        <v>0.31882970742685651</v>
      </c>
      <c r="O85" s="17">
        <f t="shared" si="20"/>
        <v>-45.67499999999999</v>
      </c>
      <c r="P85" s="17">
        <f t="shared" si="21"/>
        <v>38.189709277769595</v>
      </c>
      <c r="V85" s="3"/>
      <c r="W85" s="3"/>
      <c r="X85" s="3"/>
      <c r="Y85" s="3"/>
      <c r="Z85" s="3"/>
    </row>
    <row r="86" spans="1:26" ht="15.75" customHeight="1">
      <c r="A86" s="13">
        <v>46319</v>
      </c>
      <c r="B86" s="13">
        <f t="shared" si="11"/>
        <v>46319</v>
      </c>
      <c r="C86" s="13" t="s">
        <v>69</v>
      </c>
      <c r="D86" s="11" t="s">
        <v>121</v>
      </c>
      <c r="E86" s="14" t="s">
        <v>120</v>
      </c>
      <c r="F86" s="14">
        <v>1</v>
      </c>
      <c r="G86" s="15">
        <v>5</v>
      </c>
      <c r="H86" s="18">
        <f t="shared" si="17"/>
        <v>9.2036814725890395</v>
      </c>
      <c r="I86" s="14">
        <v>1.7</v>
      </c>
      <c r="J86" s="14">
        <v>1.47</v>
      </c>
      <c r="K86" s="16">
        <v>5</v>
      </c>
      <c r="L86" s="14" t="s">
        <v>23</v>
      </c>
      <c r="M86" s="17">
        <f t="shared" si="18"/>
        <v>-5</v>
      </c>
      <c r="N86" s="17">
        <f t="shared" si="19"/>
        <v>0.46018407362945202</v>
      </c>
      <c r="O86" s="17">
        <f t="shared" si="20"/>
        <v>-50.67499999999999</v>
      </c>
      <c r="P86" s="17">
        <f t="shared" si="21"/>
        <v>38.649893351399044</v>
      </c>
      <c r="V86" s="3"/>
      <c r="W86" s="3"/>
      <c r="X86" s="3"/>
      <c r="Y86" s="3"/>
      <c r="Z86" s="3"/>
    </row>
    <row r="87" spans="1:26" ht="15.75" customHeight="1">
      <c r="A87" s="13">
        <v>46319</v>
      </c>
      <c r="B87" s="13">
        <f t="shared" si="11"/>
        <v>46319</v>
      </c>
      <c r="C87" s="13" t="s">
        <v>76</v>
      </c>
      <c r="D87" s="11" t="s">
        <v>48</v>
      </c>
      <c r="E87" s="14" t="s">
        <v>116</v>
      </c>
      <c r="F87" s="14" t="s">
        <v>30</v>
      </c>
      <c r="G87" s="15">
        <v>5</v>
      </c>
      <c r="H87" s="18">
        <f t="shared" si="17"/>
        <v>9.7746402389356462</v>
      </c>
      <c r="I87" s="14">
        <v>1.45</v>
      </c>
      <c r="J87" s="14">
        <v>1.27</v>
      </c>
      <c r="K87" s="16">
        <v>5</v>
      </c>
      <c r="L87" s="14" t="s">
        <v>22</v>
      </c>
      <c r="M87" s="17">
        <f t="shared" si="18"/>
        <v>2.25</v>
      </c>
      <c r="N87" s="17">
        <f t="shared" si="19"/>
        <v>0.48873201194678229</v>
      </c>
      <c r="O87" s="17">
        <f t="shared" si="20"/>
        <v>-48.42499999999999</v>
      </c>
      <c r="P87" s="17">
        <f t="shared" si="21"/>
        <v>39.138625363345824</v>
      </c>
      <c r="V87" s="3"/>
      <c r="W87" s="3"/>
      <c r="X87" s="3"/>
      <c r="Y87" s="3"/>
      <c r="Z87" s="3"/>
    </row>
    <row r="88" spans="1:26" ht="15.75" customHeight="1">
      <c r="A88" s="13">
        <v>46319</v>
      </c>
      <c r="B88" s="13">
        <f t="shared" si="11"/>
        <v>46319</v>
      </c>
      <c r="C88" s="13" t="s">
        <v>35</v>
      </c>
      <c r="D88" s="11" t="s">
        <v>80</v>
      </c>
      <c r="E88" s="14" t="s">
        <v>111</v>
      </c>
      <c r="F88" s="14" t="s">
        <v>51</v>
      </c>
      <c r="G88" s="15">
        <v>5</v>
      </c>
      <c r="H88" s="18">
        <f t="shared" si="17"/>
        <v>9.2217839028638622</v>
      </c>
      <c r="I88" s="14">
        <v>1.49</v>
      </c>
      <c r="J88" s="14">
        <v>1.31</v>
      </c>
      <c r="K88" s="16">
        <v>5</v>
      </c>
      <c r="L88" s="14" t="s">
        <v>22</v>
      </c>
      <c r="M88" s="17">
        <f t="shared" si="18"/>
        <v>2.4500000000000002</v>
      </c>
      <c r="N88" s="17">
        <f t="shared" si="19"/>
        <v>0.46108919514319308</v>
      </c>
      <c r="O88" s="17">
        <f t="shared" si="20"/>
        <v>-45.974999999999987</v>
      </c>
      <c r="P88" s="17">
        <f t="shared" si="21"/>
        <v>39.599714558489019</v>
      </c>
      <c r="V88" s="3"/>
      <c r="W88" s="3"/>
      <c r="X88" s="3"/>
      <c r="Y88" s="3"/>
      <c r="Z88" s="3"/>
    </row>
    <row r="89" spans="1:26" ht="15.75" customHeight="1">
      <c r="A89" s="13">
        <v>46319</v>
      </c>
      <c r="B89" s="13">
        <f t="shared" si="11"/>
        <v>46319</v>
      </c>
      <c r="C89" s="13" t="s">
        <v>35</v>
      </c>
      <c r="D89" s="11" t="s">
        <v>48</v>
      </c>
      <c r="E89" s="14" t="s">
        <v>111</v>
      </c>
      <c r="F89" s="14" t="s">
        <v>30</v>
      </c>
      <c r="G89" s="15">
        <v>5</v>
      </c>
      <c r="H89" s="18">
        <f t="shared" si="17"/>
        <v>8.4430935494765293</v>
      </c>
      <c r="I89" s="14">
        <v>1.41</v>
      </c>
      <c r="J89" s="14">
        <v>1.26</v>
      </c>
      <c r="K89" s="16">
        <v>5</v>
      </c>
      <c r="L89" s="14" t="s">
        <v>23</v>
      </c>
      <c r="M89" s="17">
        <f t="shared" si="18"/>
        <v>-5</v>
      </c>
      <c r="N89" s="17">
        <f t="shared" si="19"/>
        <v>0.42215467747382651</v>
      </c>
      <c r="O89" s="17">
        <f t="shared" si="20"/>
        <v>-50.974999999999987</v>
      </c>
      <c r="P89" s="17">
        <f t="shared" si="21"/>
        <v>40.021869235962846</v>
      </c>
      <c r="V89" s="3"/>
      <c r="W89" s="3"/>
      <c r="X89" s="3"/>
      <c r="Y89" s="3"/>
      <c r="Z89" s="3"/>
    </row>
    <row r="90" spans="1:26" ht="15.75" customHeight="1">
      <c r="A90" s="13">
        <v>46319</v>
      </c>
      <c r="B90" s="13">
        <f t="shared" si="11"/>
        <v>46319</v>
      </c>
      <c r="C90" s="13" t="s">
        <v>35</v>
      </c>
      <c r="D90" s="11" t="s">
        <v>19</v>
      </c>
      <c r="E90" s="14" t="s">
        <v>111</v>
      </c>
      <c r="F90" s="14" t="s">
        <v>66</v>
      </c>
      <c r="G90" s="15">
        <v>5</v>
      </c>
      <c r="H90" s="18">
        <f t="shared" si="17"/>
        <v>10.54640417838489</v>
      </c>
      <c r="I90" s="14">
        <v>1.52</v>
      </c>
      <c r="J90" s="14">
        <v>1.31</v>
      </c>
      <c r="K90" s="16">
        <v>5</v>
      </c>
      <c r="L90" s="14" t="s">
        <v>22</v>
      </c>
      <c r="M90" s="17">
        <f t="shared" si="18"/>
        <v>2.6</v>
      </c>
      <c r="N90" s="17">
        <f t="shared" si="19"/>
        <v>0.52732020891924447</v>
      </c>
      <c r="O90" s="17">
        <f t="shared" si="20"/>
        <v>-48.374999999999986</v>
      </c>
      <c r="P90" s="17">
        <f t="shared" si="21"/>
        <v>40.549189444882089</v>
      </c>
      <c r="V90" s="3"/>
      <c r="W90" s="3"/>
      <c r="X90" s="3"/>
      <c r="Y90" s="3"/>
      <c r="Z90" s="3"/>
    </row>
    <row r="91" spans="1:26" ht="15.75" customHeight="1">
      <c r="A91" s="13">
        <v>46319</v>
      </c>
      <c r="B91" s="13">
        <f t="shared" si="11"/>
        <v>46319</v>
      </c>
      <c r="C91" s="13" t="s">
        <v>35</v>
      </c>
      <c r="D91" s="11" t="s">
        <v>26</v>
      </c>
      <c r="E91" s="14" t="s">
        <v>106</v>
      </c>
      <c r="F91" s="14" t="s">
        <v>30</v>
      </c>
      <c r="G91" s="15">
        <v>5</v>
      </c>
      <c r="H91" s="18">
        <f t="shared" si="17"/>
        <v>7.3403474431123215</v>
      </c>
      <c r="I91" s="14">
        <v>1.34</v>
      </c>
      <c r="J91" s="14">
        <v>1.22</v>
      </c>
      <c r="K91" s="16">
        <v>5</v>
      </c>
      <c r="L91" s="14" t="s">
        <v>22</v>
      </c>
      <c r="M91" s="17">
        <f t="shared" si="18"/>
        <v>1.7000000000000004</v>
      </c>
      <c r="N91" s="17">
        <f t="shared" si="19"/>
        <v>0.36701737215561608</v>
      </c>
      <c r="O91" s="17">
        <f t="shared" si="20"/>
        <v>-46.674999999999983</v>
      </c>
      <c r="P91" s="17">
        <f t="shared" si="21"/>
        <v>40.916206817037704</v>
      </c>
      <c r="V91" s="3"/>
      <c r="W91" s="3"/>
      <c r="X91" s="3"/>
      <c r="Y91" s="3"/>
      <c r="Z91" s="3"/>
    </row>
    <row r="92" spans="1:26" ht="15.75" customHeight="1">
      <c r="A92" s="13">
        <v>46319</v>
      </c>
      <c r="B92" s="13">
        <f t="shared" si="11"/>
        <v>46319</v>
      </c>
      <c r="C92" s="13" t="s">
        <v>76</v>
      </c>
      <c r="D92" s="11" t="s">
        <v>19</v>
      </c>
      <c r="E92" s="14" t="s">
        <v>122</v>
      </c>
      <c r="F92" s="14" t="s">
        <v>44</v>
      </c>
      <c r="G92" s="15">
        <v>5</v>
      </c>
      <c r="H92" s="18">
        <f t="shared" ref="H92:H106" si="22">SUM(100/J92-100/I92)</f>
        <v>8.5470085470085593</v>
      </c>
      <c r="I92" s="14">
        <v>1.3</v>
      </c>
      <c r="J92" s="14">
        <v>1.17</v>
      </c>
      <c r="K92" s="16">
        <v>5</v>
      </c>
      <c r="L92" s="14" t="s">
        <v>22</v>
      </c>
      <c r="M92" s="17">
        <f t="shared" ref="M92:M106" si="23">IF(L92="Persa",-G92,G92*(I92-1))</f>
        <v>1.5000000000000002</v>
      </c>
      <c r="N92" s="17">
        <f t="shared" ref="N92:N106" si="24">+G92*(H92/100)</f>
        <v>0.427350427350428</v>
      </c>
      <c r="O92" s="17">
        <f t="shared" ref="O92:O106" si="25">M92+O91</f>
        <v>-45.174999999999983</v>
      </c>
      <c r="P92" s="17">
        <f t="shared" ref="P92:P106" si="26">P91+N92</f>
        <v>41.34355724438813</v>
      </c>
      <c r="V92" s="3"/>
      <c r="W92" s="3"/>
      <c r="X92" s="3"/>
      <c r="Y92" s="3"/>
      <c r="Z92" s="3"/>
    </row>
    <row r="93" spans="1:26" ht="15.75" customHeight="1">
      <c r="A93" s="13">
        <v>46320</v>
      </c>
      <c r="B93" s="13">
        <f t="shared" si="11"/>
        <v>46320</v>
      </c>
      <c r="C93" s="13" t="s">
        <v>76</v>
      </c>
      <c r="D93" s="11" t="s">
        <v>19</v>
      </c>
      <c r="E93" s="14" t="s">
        <v>123</v>
      </c>
      <c r="F93" s="14" t="s">
        <v>66</v>
      </c>
      <c r="G93" s="15">
        <v>5</v>
      </c>
      <c r="H93" s="18">
        <f t="shared" si="22"/>
        <v>13.432894788826999</v>
      </c>
      <c r="I93" s="14">
        <v>1.77</v>
      </c>
      <c r="J93" s="14">
        <v>1.43</v>
      </c>
      <c r="K93" s="16">
        <v>5</v>
      </c>
      <c r="L93" s="14" t="s">
        <v>23</v>
      </c>
      <c r="M93" s="17">
        <f t="shared" si="23"/>
        <v>-5</v>
      </c>
      <c r="N93" s="17">
        <f t="shared" si="24"/>
        <v>0.67164473944134995</v>
      </c>
      <c r="O93" s="17">
        <f t="shared" si="25"/>
        <v>-50.174999999999983</v>
      </c>
      <c r="P93" s="17">
        <f t="shared" si="26"/>
        <v>42.015201983829478</v>
      </c>
      <c r="V93" s="3"/>
      <c r="W93" s="3"/>
      <c r="X93" s="3"/>
      <c r="Y93" s="3"/>
      <c r="Z93" s="3"/>
    </row>
    <row r="94" spans="1:26" ht="15.75" customHeight="1">
      <c r="A94" s="13">
        <v>46320</v>
      </c>
      <c r="B94" s="13">
        <f t="shared" si="11"/>
        <v>46320</v>
      </c>
      <c r="C94" s="13" t="s">
        <v>76</v>
      </c>
      <c r="D94" s="11" t="s">
        <v>38</v>
      </c>
      <c r="E94" s="14" t="s">
        <v>123</v>
      </c>
      <c r="F94" s="14" t="s">
        <v>51</v>
      </c>
      <c r="G94" s="15">
        <v>5</v>
      </c>
      <c r="H94" s="18">
        <f t="shared" si="22"/>
        <v>12.126601721977444</v>
      </c>
      <c r="I94" s="14">
        <v>1.73</v>
      </c>
      <c r="J94" s="14">
        <v>1.43</v>
      </c>
      <c r="K94" s="16">
        <v>5</v>
      </c>
      <c r="L94" s="14" t="s">
        <v>23</v>
      </c>
      <c r="M94" s="17">
        <f t="shared" si="23"/>
        <v>-5</v>
      </c>
      <c r="N94" s="17">
        <f t="shared" si="24"/>
        <v>0.60633008609887218</v>
      </c>
      <c r="O94" s="17">
        <f t="shared" si="25"/>
        <v>-55.174999999999983</v>
      </c>
      <c r="P94" s="17">
        <f t="shared" si="26"/>
        <v>42.62153206992835</v>
      </c>
      <c r="V94" s="3"/>
      <c r="W94" s="3"/>
      <c r="X94" s="3"/>
      <c r="Y94" s="3"/>
      <c r="Z94" s="3"/>
    </row>
    <row r="95" spans="1:26" ht="15.75" customHeight="1">
      <c r="A95" s="13">
        <v>46320</v>
      </c>
      <c r="B95" s="13">
        <f t="shared" si="11"/>
        <v>46320</v>
      </c>
      <c r="C95" s="13" t="s">
        <v>73</v>
      </c>
      <c r="D95" s="11" t="s">
        <v>90</v>
      </c>
      <c r="E95" s="14" t="s">
        <v>124</v>
      </c>
      <c r="F95" s="14" t="s">
        <v>63</v>
      </c>
      <c r="G95" s="15">
        <v>5</v>
      </c>
      <c r="H95" s="18">
        <f t="shared" si="22"/>
        <v>11.896830684305698</v>
      </c>
      <c r="I95" s="14">
        <v>1.58</v>
      </c>
      <c r="J95" s="14">
        <v>1.33</v>
      </c>
      <c r="K95" s="16">
        <v>5</v>
      </c>
      <c r="L95" s="14" t="s">
        <v>22</v>
      </c>
      <c r="M95" s="17">
        <f t="shared" si="23"/>
        <v>2.9000000000000004</v>
      </c>
      <c r="N95" s="17">
        <f t="shared" si="24"/>
        <v>0.59484153421528485</v>
      </c>
      <c r="O95" s="17">
        <f t="shared" si="25"/>
        <v>-52.274999999999984</v>
      </c>
      <c r="P95" s="17">
        <f t="shared" si="26"/>
        <v>43.216373604143634</v>
      </c>
      <c r="V95" s="3"/>
      <c r="W95" s="3"/>
      <c r="X95" s="3"/>
      <c r="Y95" s="3"/>
      <c r="Z95" s="3"/>
    </row>
    <row r="96" spans="1:26" ht="15.75" customHeight="1">
      <c r="A96" s="13">
        <v>46320</v>
      </c>
      <c r="B96" s="13">
        <f t="shared" si="11"/>
        <v>46320</v>
      </c>
      <c r="C96" s="13" t="s">
        <v>73</v>
      </c>
      <c r="D96" s="11" t="s">
        <v>80</v>
      </c>
      <c r="E96" s="14" t="s">
        <v>125</v>
      </c>
      <c r="F96" s="14" t="s">
        <v>47</v>
      </c>
      <c r="G96" s="15">
        <v>5</v>
      </c>
      <c r="H96" s="18">
        <f t="shared" si="22"/>
        <v>9.963768115942031</v>
      </c>
      <c r="I96" s="14">
        <v>1.6</v>
      </c>
      <c r="J96" s="14">
        <v>1.38</v>
      </c>
      <c r="K96" s="16">
        <v>5</v>
      </c>
      <c r="L96" s="14" t="s">
        <v>23</v>
      </c>
      <c r="M96" s="17">
        <f t="shared" si="23"/>
        <v>-5</v>
      </c>
      <c r="N96" s="17">
        <f t="shared" si="24"/>
        <v>0.49818840579710155</v>
      </c>
      <c r="O96" s="17">
        <f t="shared" si="25"/>
        <v>-57.274999999999984</v>
      </c>
      <c r="P96" s="17">
        <f t="shared" si="26"/>
        <v>43.714562009940735</v>
      </c>
      <c r="V96" s="3"/>
      <c r="W96" s="3"/>
      <c r="X96" s="3"/>
      <c r="Y96" s="3"/>
      <c r="Z96" s="3"/>
    </row>
    <row r="97" spans="1:26" ht="15.75" customHeight="1">
      <c r="A97" s="13">
        <v>46320</v>
      </c>
      <c r="B97" s="13">
        <f t="shared" si="11"/>
        <v>46320</v>
      </c>
      <c r="C97" s="13" t="s">
        <v>67</v>
      </c>
      <c r="D97" s="11" t="s">
        <v>28</v>
      </c>
      <c r="E97" s="14" t="s">
        <v>126</v>
      </c>
      <c r="F97" s="14" t="s">
        <v>30</v>
      </c>
      <c r="G97" s="15">
        <v>5</v>
      </c>
      <c r="H97" s="18">
        <f t="shared" si="22"/>
        <v>9.8164746052070058</v>
      </c>
      <c r="I97" s="14">
        <v>1.65</v>
      </c>
      <c r="J97" s="14">
        <v>1.42</v>
      </c>
      <c r="K97" s="16">
        <v>5</v>
      </c>
      <c r="L97" s="14" t="s">
        <v>22</v>
      </c>
      <c r="M97" s="17">
        <f t="shared" si="23"/>
        <v>3.2499999999999996</v>
      </c>
      <c r="N97" s="17">
        <f t="shared" si="24"/>
        <v>0.49082373026035025</v>
      </c>
      <c r="O97" s="17">
        <f t="shared" si="25"/>
        <v>-54.024999999999984</v>
      </c>
      <c r="P97" s="17">
        <f t="shared" si="26"/>
        <v>44.205385740201088</v>
      </c>
      <c r="V97" s="3"/>
      <c r="W97" s="3"/>
      <c r="X97" s="3"/>
      <c r="Y97" s="3"/>
      <c r="Z97" s="3"/>
    </row>
    <row r="98" spans="1:26" ht="15.75" customHeight="1">
      <c r="A98" s="13">
        <v>46320</v>
      </c>
      <c r="B98" s="13">
        <f t="shared" si="11"/>
        <v>46320</v>
      </c>
      <c r="C98" s="13" t="s">
        <v>73</v>
      </c>
      <c r="D98" s="11" t="s">
        <v>26</v>
      </c>
      <c r="E98" s="14" t="s">
        <v>124</v>
      </c>
      <c r="F98" s="14" t="s">
        <v>27</v>
      </c>
      <c r="G98" s="15">
        <v>5</v>
      </c>
      <c r="H98" s="18">
        <f t="shared" si="22"/>
        <v>9.0493642821591891</v>
      </c>
      <c r="I98" s="14">
        <v>1.59</v>
      </c>
      <c r="J98" s="14">
        <v>1.39</v>
      </c>
      <c r="K98" s="16">
        <v>5</v>
      </c>
      <c r="L98" s="14" t="s">
        <v>22</v>
      </c>
      <c r="M98" s="17">
        <f t="shared" si="23"/>
        <v>2.95</v>
      </c>
      <c r="N98" s="17">
        <f t="shared" si="24"/>
        <v>0.45246821410795945</v>
      </c>
      <c r="O98" s="17">
        <f t="shared" si="25"/>
        <v>-51.074999999999982</v>
      </c>
      <c r="P98" s="17">
        <f t="shared" si="26"/>
        <v>44.657853954309047</v>
      </c>
      <c r="V98" s="3"/>
      <c r="W98" s="3"/>
      <c r="X98" s="3"/>
      <c r="Y98" s="3"/>
      <c r="Z98" s="3"/>
    </row>
    <row r="99" spans="1:26" ht="15.75" customHeight="1">
      <c r="A99" s="13">
        <v>46320</v>
      </c>
      <c r="B99" s="13">
        <f t="shared" si="11"/>
        <v>46320</v>
      </c>
      <c r="C99" s="13" t="s">
        <v>67</v>
      </c>
      <c r="D99" s="11" t="s">
        <v>80</v>
      </c>
      <c r="E99" s="14" t="s">
        <v>127</v>
      </c>
      <c r="F99" s="14" t="s">
        <v>54</v>
      </c>
      <c r="G99" s="15">
        <v>5</v>
      </c>
      <c r="H99" s="18">
        <f t="shared" si="22"/>
        <v>6.3308010129281627</v>
      </c>
      <c r="I99" s="14">
        <v>1.83</v>
      </c>
      <c r="J99" s="14">
        <v>1.64</v>
      </c>
      <c r="K99" s="16">
        <v>5</v>
      </c>
      <c r="L99" s="14" t="s">
        <v>23</v>
      </c>
      <c r="M99" s="17">
        <f t="shared" si="23"/>
        <v>-5</v>
      </c>
      <c r="N99" s="17">
        <f t="shared" si="24"/>
        <v>0.31654005064640811</v>
      </c>
      <c r="O99" s="17">
        <f t="shared" si="25"/>
        <v>-56.074999999999982</v>
      </c>
      <c r="P99" s="17">
        <f t="shared" si="26"/>
        <v>44.974394004955457</v>
      </c>
      <c r="V99" s="3"/>
      <c r="W99" s="3"/>
      <c r="X99" s="3"/>
      <c r="Y99" s="3"/>
      <c r="Z99" s="3"/>
    </row>
    <row r="100" spans="1:26" ht="15.75" customHeight="1">
      <c r="A100" s="13">
        <v>46320</v>
      </c>
      <c r="B100" s="13">
        <f t="shared" si="11"/>
        <v>46320</v>
      </c>
      <c r="C100" s="13" t="s">
        <v>35</v>
      </c>
      <c r="D100" s="11" t="s">
        <v>41</v>
      </c>
      <c r="E100" s="14" t="s">
        <v>128</v>
      </c>
      <c r="F100" s="14" t="s">
        <v>63</v>
      </c>
      <c r="G100" s="15">
        <v>5</v>
      </c>
      <c r="H100" s="18">
        <f t="shared" si="22"/>
        <v>11.722642283570721</v>
      </c>
      <c r="I100" s="14">
        <v>1.41</v>
      </c>
      <c r="J100" s="14">
        <v>1.21</v>
      </c>
      <c r="K100" s="16">
        <v>5</v>
      </c>
      <c r="L100" s="14" t="s">
        <v>22</v>
      </c>
      <c r="M100" s="17">
        <f t="shared" si="23"/>
        <v>2.0499999999999998</v>
      </c>
      <c r="N100" s="17">
        <f t="shared" si="24"/>
        <v>0.58613211417853606</v>
      </c>
      <c r="O100" s="17">
        <f t="shared" si="25"/>
        <v>-54.024999999999984</v>
      </c>
      <c r="P100" s="17">
        <f t="shared" si="26"/>
        <v>45.560526119133996</v>
      </c>
      <c r="V100" s="3"/>
      <c r="W100" s="3"/>
      <c r="X100" s="3"/>
      <c r="Y100" s="3"/>
      <c r="Z100" s="3"/>
    </row>
    <row r="101" spans="1:26" ht="15.75" customHeight="1">
      <c r="A101" s="13">
        <v>46320</v>
      </c>
      <c r="B101" s="13">
        <f t="shared" si="11"/>
        <v>46320</v>
      </c>
      <c r="C101" s="13" t="s">
        <v>69</v>
      </c>
      <c r="D101" s="11" t="s">
        <v>28</v>
      </c>
      <c r="E101" s="14" t="s">
        <v>129</v>
      </c>
      <c r="F101" s="14" t="s">
        <v>33</v>
      </c>
      <c r="G101" s="15">
        <v>5</v>
      </c>
      <c r="H101" s="18">
        <f t="shared" si="22"/>
        <v>8.3612040133779288</v>
      </c>
      <c r="I101" s="14">
        <v>1.56</v>
      </c>
      <c r="J101" s="14">
        <v>1.38</v>
      </c>
      <c r="K101" s="16">
        <v>5</v>
      </c>
      <c r="L101" s="14" t="s">
        <v>22</v>
      </c>
      <c r="M101" s="17">
        <f t="shared" si="23"/>
        <v>2.8000000000000003</v>
      </c>
      <c r="N101" s="17">
        <f t="shared" si="24"/>
        <v>0.41806020066889649</v>
      </c>
      <c r="O101" s="17">
        <f t="shared" si="25"/>
        <v>-51.224999999999987</v>
      </c>
      <c r="P101" s="17">
        <f t="shared" si="26"/>
        <v>45.978586319802893</v>
      </c>
      <c r="V101" s="3"/>
      <c r="W101" s="3"/>
      <c r="X101" s="3"/>
      <c r="Y101" s="3"/>
      <c r="Z101" s="3"/>
    </row>
    <row r="102" spans="1:26" ht="15.75" customHeight="1">
      <c r="A102" s="13">
        <v>46320</v>
      </c>
      <c r="B102" s="13">
        <f t="shared" si="11"/>
        <v>46320</v>
      </c>
      <c r="C102" s="13" t="s">
        <v>110</v>
      </c>
      <c r="D102" s="11" t="s">
        <v>19</v>
      </c>
      <c r="E102" s="14" t="s">
        <v>130</v>
      </c>
      <c r="F102" s="14" t="s">
        <v>66</v>
      </c>
      <c r="G102" s="15">
        <v>5</v>
      </c>
      <c r="H102" s="18">
        <f t="shared" si="22"/>
        <v>9.8684210526315752</v>
      </c>
      <c r="I102" s="14">
        <v>1.9</v>
      </c>
      <c r="J102" s="14">
        <v>1.6</v>
      </c>
      <c r="K102" s="16">
        <v>5</v>
      </c>
      <c r="L102" s="14" t="s">
        <v>22</v>
      </c>
      <c r="M102" s="17">
        <f t="shared" si="23"/>
        <v>4.5</v>
      </c>
      <c r="N102" s="17">
        <f t="shared" si="24"/>
        <v>0.49342105263157876</v>
      </c>
      <c r="O102" s="17">
        <f t="shared" si="25"/>
        <v>-46.724999999999987</v>
      </c>
      <c r="P102" s="17">
        <f t="shared" si="26"/>
        <v>46.472007372434476</v>
      </c>
      <c r="V102" s="3"/>
      <c r="W102" s="3"/>
      <c r="X102" s="3"/>
      <c r="Y102" s="3"/>
      <c r="Z102" s="3"/>
    </row>
    <row r="103" spans="1:26" ht="15.75" customHeight="1">
      <c r="A103" s="13">
        <v>46320</v>
      </c>
      <c r="B103" s="13">
        <f t="shared" ref="B103:B112" si="27">A103</f>
        <v>46320</v>
      </c>
      <c r="C103" s="13" t="s">
        <v>35</v>
      </c>
      <c r="D103" s="11" t="s">
        <v>41</v>
      </c>
      <c r="E103" s="14" t="s">
        <v>128</v>
      </c>
      <c r="F103" s="14">
        <v>1</v>
      </c>
      <c r="G103" s="15">
        <v>5</v>
      </c>
      <c r="H103" s="18">
        <f t="shared" si="22"/>
        <v>9.5034449988120713</v>
      </c>
      <c r="I103" s="14">
        <v>1.38</v>
      </c>
      <c r="J103" s="14">
        <v>1.22</v>
      </c>
      <c r="K103" s="16">
        <v>5</v>
      </c>
      <c r="L103" s="14" t="s">
        <v>22</v>
      </c>
      <c r="M103" s="17">
        <f t="shared" si="23"/>
        <v>1.8999999999999995</v>
      </c>
      <c r="N103" s="17">
        <f t="shared" si="24"/>
        <v>0.47517224994060359</v>
      </c>
      <c r="O103" s="17">
        <f t="shared" si="25"/>
        <v>-44.824999999999989</v>
      </c>
      <c r="P103" s="17">
        <f t="shared" si="26"/>
        <v>46.947179622375081</v>
      </c>
      <c r="V103" s="3"/>
      <c r="W103" s="3"/>
      <c r="X103" s="3"/>
      <c r="Y103" s="3"/>
      <c r="Z103" s="3"/>
    </row>
    <row r="104" spans="1:26" ht="15.75" customHeight="1">
      <c r="A104" s="13">
        <v>46320</v>
      </c>
      <c r="B104" s="13">
        <f t="shared" si="27"/>
        <v>46320</v>
      </c>
      <c r="C104" s="13" t="s">
        <v>110</v>
      </c>
      <c r="D104" s="11" t="s">
        <v>38</v>
      </c>
      <c r="E104" s="14" t="s">
        <v>130</v>
      </c>
      <c r="F104" s="14" t="s">
        <v>51</v>
      </c>
      <c r="G104" s="15">
        <v>5</v>
      </c>
      <c r="H104" s="18">
        <f t="shared" si="22"/>
        <v>9.308510638297868</v>
      </c>
      <c r="I104" s="14">
        <v>1.88</v>
      </c>
      <c r="J104" s="14">
        <v>1.6</v>
      </c>
      <c r="K104" s="16">
        <v>5</v>
      </c>
      <c r="L104" s="14" t="s">
        <v>22</v>
      </c>
      <c r="M104" s="17">
        <f t="shared" si="23"/>
        <v>4.3999999999999995</v>
      </c>
      <c r="N104" s="17">
        <f t="shared" si="24"/>
        <v>0.46542553191489339</v>
      </c>
      <c r="O104" s="17">
        <f t="shared" si="25"/>
        <v>-40.42499999999999</v>
      </c>
      <c r="P104" s="17">
        <f t="shared" si="26"/>
        <v>47.412605154289977</v>
      </c>
      <c r="V104" s="3"/>
      <c r="W104" s="3"/>
      <c r="X104" s="3"/>
      <c r="Y104" s="3"/>
      <c r="Z104" s="3"/>
    </row>
    <row r="105" spans="1:26" ht="15.75" customHeight="1">
      <c r="A105" s="13">
        <v>46320</v>
      </c>
      <c r="B105" s="13">
        <f t="shared" si="27"/>
        <v>46320</v>
      </c>
      <c r="C105" s="13" t="s">
        <v>76</v>
      </c>
      <c r="D105" s="11" t="s">
        <v>24</v>
      </c>
      <c r="E105" s="14" t="s">
        <v>131</v>
      </c>
      <c r="F105" s="14" t="s">
        <v>63</v>
      </c>
      <c r="G105" s="15">
        <v>5</v>
      </c>
      <c r="H105" s="18">
        <f t="shared" si="22"/>
        <v>8.2016748683415415</v>
      </c>
      <c r="I105" s="14">
        <v>1.62</v>
      </c>
      <c r="J105" s="14">
        <v>1.43</v>
      </c>
      <c r="K105" s="16">
        <v>5</v>
      </c>
      <c r="L105" s="14" t="s">
        <v>23</v>
      </c>
      <c r="M105" s="17">
        <f t="shared" si="23"/>
        <v>-5</v>
      </c>
      <c r="N105" s="17">
        <f t="shared" si="24"/>
        <v>0.41008374341707704</v>
      </c>
      <c r="O105" s="17">
        <f t="shared" si="25"/>
        <v>-45.42499999999999</v>
      </c>
      <c r="P105" s="17">
        <f t="shared" si="26"/>
        <v>47.822688897707053</v>
      </c>
      <c r="V105" s="3"/>
      <c r="W105" s="3"/>
      <c r="X105" s="3"/>
      <c r="Y105" s="3"/>
      <c r="Z105" s="3"/>
    </row>
    <row r="106" spans="1:26" ht="15.75" customHeight="1">
      <c r="A106" s="13">
        <v>46320</v>
      </c>
      <c r="B106" s="13">
        <f t="shared" si="27"/>
        <v>46320</v>
      </c>
      <c r="C106" s="13" t="s">
        <v>71</v>
      </c>
      <c r="D106" s="11" t="s">
        <v>133</v>
      </c>
      <c r="E106" s="14" t="s">
        <v>132</v>
      </c>
      <c r="F106" s="14" t="s">
        <v>63</v>
      </c>
      <c r="G106" s="15">
        <v>5</v>
      </c>
      <c r="H106" s="18">
        <f t="shared" si="22"/>
        <v>8.5714285714285694</v>
      </c>
      <c r="I106" s="14">
        <v>1.4</v>
      </c>
      <c r="J106" s="14">
        <v>1.25</v>
      </c>
      <c r="K106" s="16">
        <v>5</v>
      </c>
      <c r="L106" s="14" t="s">
        <v>22</v>
      </c>
      <c r="M106" s="17">
        <f t="shared" si="23"/>
        <v>1.9999999999999996</v>
      </c>
      <c r="N106" s="17">
        <f t="shared" si="24"/>
        <v>0.42857142857142844</v>
      </c>
      <c r="O106" s="17">
        <f t="shared" si="25"/>
        <v>-43.42499999999999</v>
      </c>
      <c r="P106" s="17">
        <f t="shared" si="26"/>
        <v>48.251260326278484</v>
      </c>
      <c r="V106" s="3"/>
      <c r="W106" s="3"/>
      <c r="X106" s="3"/>
      <c r="Y106" s="3"/>
      <c r="Z106" s="3"/>
    </row>
    <row r="107" spans="1:26" ht="15.75" customHeight="1">
      <c r="A107" s="13">
        <v>46320</v>
      </c>
      <c r="B107" s="13">
        <f t="shared" si="27"/>
        <v>46320</v>
      </c>
      <c r="C107" s="13" t="s">
        <v>71</v>
      </c>
      <c r="D107" s="11" t="s">
        <v>19</v>
      </c>
      <c r="E107" s="14" t="s">
        <v>132</v>
      </c>
      <c r="F107" s="14" t="s">
        <v>27</v>
      </c>
      <c r="G107" s="15">
        <v>5</v>
      </c>
      <c r="H107" s="18">
        <f t="shared" ref="H107:H114" si="28">SUM(100/J107-100/I107)</f>
        <v>10.697911360163019</v>
      </c>
      <c r="I107" s="14">
        <v>1.51</v>
      </c>
      <c r="J107" s="14">
        <v>1.3</v>
      </c>
      <c r="K107" s="16">
        <v>5</v>
      </c>
      <c r="L107" s="14" t="s">
        <v>23</v>
      </c>
      <c r="M107" s="17">
        <f t="shared" ref="M107:M114" si="29">IF(L107="Persa",-G107,G107*(I107-1))</f>
        <v>-5</v>
      </c>
      <c r="N107" s="17">
        <f t="shared" ref="N107:N114" si="30">+G107*(H107/100)</f>
        <v>0.53489556800815097</v>
      </c>
      <c r="O107" s="17">
        <f t="shared" ref="O107:O114" si="31">M107+O106</f>
        <v>-48.42499999999999</v>
      </c>
      <c r="P107" s="17">
        <f t="shared" ref="P107:P114" si="32">P106+N107</f>
        <v>48.786155894286637</v>
      </c>
      <c r="V107" s="3"/>
      <c r="W107" s="3"/>
      <c r="X107" s="3"/>
      <c r="Y107" s="3"/>
      <c r="Z107" s="3"/>
    </row>
    <row r="108" spans="1:26" ht="15.75" customHeight="1">
      <c r="A108" s="13">
        <v>46320</v>
      </c>
      <c r="B108" s="13">
        <f t="shared" si="27"/>
        <v>46320</v>
      </c>
      <c r="C108" s="13" t="s">
        <v>73</v>
      </c>
      <c r="D108" s="11" t="s">
        <v>19</v>
      </c>
      <c r="E108" s="14" t="s">
        <v>134</v>
      </c>
      <c r="F108" s="14" t="s">
        <v>61</v>
      </c>
      <c r="G108" s="15">
        <v>5</v>
      </c>
      <c r="H108" s="18">
        <f t="shared" si="28"/>
        <v>6.8537159991432972</v>
      </c>
      <c r="I108" s="14">
        <v>1.61</v>
      </c>
      <c r="J108" s="14">
        <v>1.45</v>
      </c>
      <c r="K108" s="16">
        <v>5</v>
      </c>
      <c r="L108" s="14" t="s">
        <v>22</v>
      </c>
      <c r="M108" s="17">
        <f t="shared" si="29"/>
        <v>3.0500000000000007</v>
      </c>
      <c r="N108" s="17">
        <f t="shared" si="30"/>
        <v>0.34268579995716486</v>
      </c>
      <c r="O108" s="17">
        <f t="shared" si="31"/>
        <v>-45.374999999999986</v>
      </c>
      <c r="P108" s="17">
        <f t="shared" si="32"/>
        <v>49.128841694243803</v>
      </c>
      <c r="V108" s="3"/>
      <c r="W108" s="3"/>
      <c r="X108" s="3"/>
      <c r="Y108" s="3"/>
      <c r="Z108" s="3"/>
    </row>
    <row r="109" spans="1:26" ht="15.75" customHeight="1">
      <c r="A109" s="13">
        <v>46320</v>
      </c>
      <c r="B109" s="13">
        <f t="shared" si="27"/>
        <v>46320</v>
      </c>
      <c r="C109" s="13" t="s">
        <v>71</v>
      </c>
      <c r="D109" s="11" t="s">
        <v>19</v>
      </c>
      <c r="E109" s="14" t="s">
        <v>135</v>
      </c>
      <c r="F109" s="14" t="s">
        <v>64</v>
      </c>
      <c r="G109" s="15">
        <v>5</v>
      </c>
      <c r="H109" s="18">
        <f t="shared" si="28"/>
        <v>10.416666666666664</v>
      </c>
      <c r="I109" s="14">
        <v>1.92</v>
      </c>
      <c r="J109" s="14">
        <v>1.6</v>
      </c>
      <c r="K109" s="16">
        <v>5</v>
      </c>
      <c r="L109" s="14" t="s">
        <v>23</v>
      </c>
      <c r="M109" s="17">
        <f t="shared" si="29"/>
        <v>-5</v>
      </c>
      <c r="N109" s="17">
        <f t="shared" si="30"/>
        <v>0.52083333333333326</v>
      </c>
      <c r="O109" s="17">
        <f t="shared" si="31"/>
        <v>-50.374999999999986</v>
      </c>
      <c r="P109" s="17">
        <f t="shared" si="32"/>
        <v>49.649675027577139</v>
      </c>
      <c r="V109" s="3"/>
      <c r="W109" s="3"/>
      <c r="X109" s="3"/>
      <c r="Y109" s="3"/>
      <c r="Z109" s="3"/>
    </row>
    <row r="110" spans="1:26" ht="15.75" customHeight="1">
      <c r="A110" s="13">
        <v>46320</v>
      </c>
      <c r="B110" s="13">
        <f t="shared" si="27"/>
        <v>46320</v>
      </c>
      <c r="C110" s="13" t="s">
        <v>35</v>
      </c>
      <c r="D110" s="11" t="s">
        <v>24</v>
      </c>
      <c r="E110" s="14" t="s">
        <v>136</v>
      </c>
      <c r="F110" s="14" t="s">
        <v>65</v>
      </c>
      <c r="G110" s="15">
        <v>5</v>
      </c>
      <c r="H110" s="18">
        <f t="shared" si="28"/>
        <v>13.076168682576004</v>
      </c>
      <c r="I110" s="14">
        <v>1.61</v>
      </c>
      <c r="J110" s="14">
        <v>1.33</v>
      </c>
      <c r="K110" s="16">
        <v>5</v>
      </c>
      <c r="L110" s="14" t="s">
        <v>22</v>
      </c>
      <c r="M110" s="17">
        <f t="shared" si="29"/>
        <v>3.0500000000000007</v>
      </c>
      <c r="N110" s="17">
        <f t="shared" si="30"/>
        <v>0.65380843412880019</v>
      </c>
      <c r="O110" s="17">
        <f t="shared" si="31"/>
        <v>-47.324999999999989</v>
      </c>
      <c r="P110" s="17">
        <f t="shared" si="32"/>
        <v>50.303483461705937</v>
      </c>
      <c r="V110" s="3"/>
      <c r="W110" s="3"/>
      <c r="X110" s="3"/>
      <c r="Y110" s="3"/>
      <c r="Z110" s="3"/>
    </row>
    <row r="111" spans="1:26" ht="15.75" customHeight="1">
      <c r="A111" s="13">
        <v>46320</v>
      </c>
      <c r="B111" s="13">
        <f t="shared" si="27"/>
        <v>46320</v>
      </c>
      <c r="C111" s="13" t="s">
        <v>76</v>
      </c>
      <c r="D111" s="11" t="s">
        <v>24</v>
      </c>
      <c r="E111" s="14" t="s">
        <v>137</v>
      </c>
      <c r="F111" s="14" t="s">
        <v>65</v>
      </c>
      <c r="G111" s="15">
        <v>5</v>
      </c>
      <c r="H111" s="18">
        <f t="shared" si="28"/>
        <v>8.724553385957627</v>
      </c>
      <c r="I111" s="14">
        <v>1.66</v>
      </c>
      <c r="J111" s="14">
        <v>1.45</v>
      </c>
      <c r="K111" s="16">
        <v>5</v>
      </c>
      <c r="L111" s="14" t="s">
        <v>22</v>
      </c>
      <c r="M111" s="17">
        <f t="shared" si="29"/>
        <v>3.3</v>
      </c>
      <c r="N111" s="17">
        <f t="shared" si="30"/>
        <v>0.43622766929788137</v>
      </c>
      <c r="O111" s="17">
        <f t="shared" si="31"/>
        <v>-44.024999999999991</v>
      </c>
      <c r="P111" s="17">
        <f t="shared" si="32"/>
        <v>50.739711131003816</v>
      </c>
      <c r="V111" s="3"/>
      <c r="W111" s="3"/>
      <c r="X111" s="3"/>
      <c r="Y111" s="3"/>
      <c r="Z111" s="3"/>
    </row>
    <row r="112" spans="1:26" ht="15.75" customHeight="1">
      <c r="A112" s="13">
        <v>46320</v>
      </c>
      <c r="B112" s="13">
        <f t="shared" si="27"/>
        <v>46320</v>
      </c>
      <c r="C112" s="13" t="s">
        <v>76</v>
      </c>
      <c r="D112" s="11" t="s">
        <v>19</v>
      </c>
      <c r="E112" s="14" t="s">
        <v>138</v>
      </c>
      <c r="F112" s="14" t="s">
        <v>64</v>
      </c>
      <c r="G112" s="15">
        <v>5</v>
      </c>
      <c r="H112" s="18">
        <f t="shared" si="28"/>
        <v>12.622512622512623</v>
      </c>
      <c r="I112" s="14">
        <v>1.82</v>
      </c>
      <c r="J112" s="14">
        <v>1.48</v>
      </c>
      <c r="K112" s="16">
        <v>5</v>
      </c>
      <c r="L112" s="14" t="s">
        <v>22</v>
      </c>
      <c r="M112" s="17">
        <f t="shared" si="29"/>
        <v>4.1000000000000005</v>
      </c>
      <c r="N112" s="17">
        <f t="shared" si="30"/>
        <v>0.63112563112563125</v>
      </c>
      <c r="O112" s="17">
        <f t="shared" si="31"/>
        <v>-39.92499999999999</v>
      </c>
      <c r="P112" s="17">
        <f t="shared" si="32"/>
        <v>51.37083676212945</v>
      </c>
      <c r="V112" s="3"/>
      <c r="W112" s="3"/>
      <c r="X112" s="3"/>
      <c r="Y112" s="3"/>
      <c r="Z112" s="3"/>
    </row>
    <row r="113" spans="1:26" ht="15.75" customHeight="1">
      <c r="A113" s="13">
        <v>46320</v>
      </c>
      <c r="B113" s="13">
        <f t="shared" ref="B113:B131" si="33">A113</f>
        <v>46320</v>
      </c>
      <c r="C113" s="13" t="s">
        <v>73</v>
      </c>
      <c r="D113" s="11" t="s">
        <v>82</v>
      </c>
      <c r="E113" s="14" t="s">
        <v>139</v>
      </c>
      <c r="F113" s="14">
        <v>1</v>
      </c>
      <c r="G113" s="15">
        <v>5</v>
      </c>
      <c r="H113" s="18">
        <f t="shared" si="28"/>
        <v>6.2988158226253574</v>
      </c>
      <c r="I113" s="14">
        <v>1.62</v>
      </c>
      <c r="J113" s="14">
        <v>1.47</v>
      </c>
      <c r="K113" s="16">
        <v>5</v>
      </c>
      <c r="L113" s="14" t="s">
        <v>23</v>
      </c>
      <c r="M113" s="17">
        <f t="shared" si="29"/>
        <v>-5</v>
      </c>
      <c r="N113" s="17">
        <f t="shared" si="30"/>
        <v>0.31494079113126788</v>
      </c>
      <c r="O113" s="17">
        <f t="shared" si="31"/>
        <v>-44.92499999999999</v>
      </c>
      <c r="P113" s="17">
        <f t="shared" si="32"/>
        <v>51.685777553260721</v>
      </c>
      <c r="V113" s="3"/>
      <c r="W113" s="3"/>
      <c r="X113" s="3"/>
      <c r="Y113" s="3"/>
      <c r="Z113" s="3"/>
    </row>
    <row r="114" spans="1:26" ht="15.75" customHeight="1">
      <c r="A114" s="13">
        <v>46320</v>
      </c>
      <c r="B114" s="13">
        <f t="shared" si="33"/>
        <v>46320</v>
      </c>
      <c r="C114" s="13" t="s">
        <v>71</v>
      </c>
      <c r="D114" s="11" t="s">
        <v>24</v>
      </c>
      <c r="E114" s="14" t="s">
        <v>140</v>
      </c>
      <c r="F114" s="14">
        <v>1</v>
      </c>
      <c r="G114" s="15">
        <v>5</v>
      </c>
      <c r="H114" s="18">
        <f t="shared" si="28"/>
        <v>8.5271317829457374</v>
      </c>
      <c r="I114" s="14">
        <v>1.72</v>
      </c>
      <c r="J114" s="14">
        <v>1.5</v>
      </c>
      <c r="K114" s="16">
        <v>5</v>
      </c>
      <c r="L114" s="14" t="s">
        <v>22</v>
      </c>
      <c r="M114" s="17">
        <f t="shared" si="29"/>
        <v>3.5999999999999996</v>
      </c>
      <c r="N114" s="17">
        <f t="shared" si="30"/>
        <v>0.42635658914728691</v>
      </c>
      <c r="O114" s="17">
        <f t="shared" si="31"/>
        <v>-41.324999999999989</v>
      </c>
      <c r="P114" s="17">
        <f t="shared" si="32"/>
        <v>52.11213414240801</v>
      </c>
      <c r="V114" s="3"/>
      <c r="W114" s="3"/>
      <c r="X114" s="3"/>
      <c r="Y114" s="3"/>
      <c r="Z114" s="3"/>
    </row>
    <row r="115" spans="1:26" ht="15.75" customHeight="1">
      <c r="A115" s="13">
        <v>46320</v>
      </c>
      <c r="B115" s="13">
        <f t="shared" si="33"/>
        <v>46320</v>
      </c>
      <c r="C115" s="13" t="s">
        <v>76</v>
      </c>
      <c r="D115" s="11" t="s">
        <v>38</v>
      </c>
      <c r="E115" s="14" t="s">
        <v>141</v>
      </c>
      <c r="F115" s="14" t="s">
        <v>65</v>
      </c>
      <c r="G115" s="15">
        <v>5</v>
      </c>
      <c r="H115" s="18">
        <f t="shared" ref="H115:H178" si="34">SUM(100/J115-100/I115)</f>
        <v>5.5486197808295188</v>
      </c>
      <c r="I115" s="14">
        <v>1.78</v>
      </c>
      <c r="J115" s="14">
        <v>1.62</v>
      </c>
      <c r="K115" s="16">
        <v>5</v>
      </c>
      <c r="L115" s="14" t="s">
        <v>22</v>
      </c>
      <c r="M115" s="17">
        <f t="shared" ref="M115:M178" si="35">IF(L115="Persa",-G115,G115*(I115-1))</f>
        <v>3.9000000000000004</v>
      </c>
      <c r="N115" s="17">
        <f t="shared" ref="N115:N178" si="36">+G115*(H115/100)</f>
        <v>0.27743098904147595</v>
      </c>
      <c r="O115" s="17">
        <f t="shared" ref="O115:O178" si="37">M115+O114</f>
        <v>-37.42499999999999</v>
      </c>
      <c r="P115" s="17">
        <f t="shared" ref="P115:P178" si="38">P114+N115</f>
        <v>52.389565131449487</v>
      </c>
      <c r="V115" s="3"/>
      <c r="W115" s="3"/>
      <c r="X115" s="3"/>
      <c r="Y115" s="3"/>
      <c r="Z115" s="3"/>
    </row>
    <row r="116" spans="1:26" ht="15.75" customHeight="1">
      <c r="A116" s="13">
        <v>46320</v>
      </c>
      <c r="B116" s="13">
        <f t="shared" si="33"/>
        <v>46320</v>
      </c>
      <c r="C116" s="13" t="s">
        <v>69</v>
      </c>
      <c r="D116" s="11" t="s">
        <v>24</v>
      </c>
      <c r="E116" s="14" t="s">
        <v>142</v>
      </c>
      <c r="F116" s="14" t="s">
        <v>65</v>
      </c>
      <c r="G116" s="15">
        <v>5</v>
      </c>
      <c r="H116" s="18">
        <f t="shared" si="34"/>
        <v>9.6891060746482438</v>
      </c>
      <c r="I116" s="14">
        <v>1.66</v>
      </c>
      <c r="J116" s="14">
        <v>1.43</v>
      </c>
      <c r="K116" s="16">
        <v>5</v>
      </c>
      <c r="L116" s="14" t="s">
        <v>23</v>
      </c>
      <c r="M116" s="17">
        <f t="shared" si="35"/>
        <v>-5</v>
      </c>
      <c r="N116" s="17">
        <f t="shared" si="36"/>
        <v>0.48445530373241219</v>
      </c>
      <c r="O116" s="17">
        <f t="shared" si="37"/>
        <v>-42.42499999999999</v>
      </c>
      <c r="P116" s="17">
        <f t="shared" si="38"/>
        <v>52.874020435181897</v>
      </c>
      <c r="V116" s="3"/>
      <c r="W116" s="3"/>
      <c r="X116" s="3"/>
      <c r="Y116" s="3"/>
      <c r="Z116" s="3"/>
    </row>
    <row r="117" spans="1:26" ht="15.75" customHeight="1">
      <c r="A117" s="13">
        <v>46320</v>
      </c>
      <c r="B117" s="13">
        <f t="shared" si="33"/>
        <v>46320</v>
      </c>
      <c r="C117" s="13" t="s">
        <v>71</v>
      </c>
      <c r="D117" s="11" t="s">
        <v>28</v>
      </c>
      <c r="E117" s="14" t="s">
        <v>143</v>
      </c>
      <c r="F117" s="14" t="s">
        <v>30</v>
      </c>
      <c r="G117" s="15">
        <v>5</v>
      </c>
      <c r="H117" s="18">
        <f t="shared" si="34"/>
        <v>8.5714285714285694</v>
      </c>
      <c r="I117" s="14">
        <v>1.4</v>
      </c>
      <c r="J117" s="14">
        <v>1.25</v>
      </c>
      <c r="K117" s="16">
        <v>5</v>
      </c>
      <c r="L117" s="14" t="s">
        <v>22</v>
      </c>
      <c r="M117" s="17">
        <f t="shared" si="35"/>
        <v>1.9999999999999996</v>
      </c>
      <c r="N117" s="17">
        <f t="shared" si="36"/>
        <v>0.42857142857142844</v>
      </c>
      <c r="O117" s="17">
        <f t="shared" si="37"/>
        <v>-40.42499999999999</v>
      </c>
      <c r="P117" s="17">
        <f t="shared" si="38"/>
        <v>53.302591863753328</v>
      </c>
      <c r="V117" s="3"/>
      <c r="W117" s="3"/>
      <c r="X117" s="3"/>
      <c r="Y117" s="3"/>
      <c r="Z117" s="3"/>
    </row>
    <row r="118" spans="1:26" ht="15.75" customHeight="1">
      <c r="A118" s="13">
        <v>46320</v>
      </c>
      <c r="B118" s="13">
        <f t="shared" si="33"/>
        <v>46320</v>
      </c>
      <c r="C118" s="13" t="s">
        <v>71</v>
      </c>
      <c r="D118" s="11" t="s">
        <v>38</v>
      </c>
      <c r="E118" s="14" t="s">
        <v>143</v>
      </c>
      <c r="F118" s="14" t="s">
        <v>65</v>
      </c>
      <c r="G118" s="15">
        <v>5</v>
      </c>
      <c r="H118" s="18">
        <f t="shared" si="34"/>
        <v>4.2764283270612395</v>
      </c>
      <c r="I118" s="14">
        <v>1.58</v>
      </c>
      <c r="J118" s="14">
        <v>1.48</v>
      </c>
      <c r="K118" s="16">
        <v>5</v>
      </c>
      <c r="L118" s="14" t="s">
        <v>22</v>
      </c>
      <c r="M118" s="17">
        <f t="shared" si="35"/>
        <v>2.9000000000000004</v>
      </c>
      <c r="N118" s="17">
        <f t="shared" si="36"/>
        <v>0.21382141635306195</v>
      </c>
      <c r="O118" s="17">
        <f t="shared" si="37"/>
        <v>-37.524999999999991</v>
      </c>
      <c r="P118" s="17">
        <f t="shared" si="38"/>
        <v>53.516413280106391</v>
      </c>
      <c r="V118" s="3"/>
      <c r="W118" s="3"/>
      <c r="X118" s="3"/>
      <c r="Y118" s="3"/>
      <c r="Z118" s="3"/>
    </row>
    <row r="119" spans="1:26" ht="15.75" customHeight="1">
      <c r="A119" s="13">
        <v>46320</v>
      </c>
      <c r="B119" s="13">
        <f t="shared" si="33"/>
        <v>46320</v>
      </c>
      <c r="C119" s="13" t="s">
        <v>73</v>
      </c>
      <c r="D119" s="11" t="s">
        <v>38</v>
      </c>
      <c r="E119" s="14" t="s">
        <v>125</v>
      </c>
      <c r="F119" s="14" t="s">
        <v>65</v>
      </c>
      <c r="G119" s="15">
        <v>5</v>
      </c>
      <c r="H119" s="18">
        <f t="shared" si="34"/>
        <v>10.272846811308348</v>
      </c>
      <c r="I119" s="14">
        <v>1.69</v>
      </c>
      <c r="J119" s="14">
        <v>1.44</v>
      </c>
      <c r="K119" s="16">
        <v>5</v>
      </c>
      <c r="L119" s="14" t="s">
        <v>22</v>
      </c>
      <c r="M119" s="17">
        <f t="shared" si="35"/>
        <v>3.4499999999999997</v>
      </c>
      <c r="N119" s="17">
        <f t="shared" si="36"/>
        <v>0.51364234056541735</v>
      </c>
      <c r="O119" s="17">
        <f t="shared" si="37"/>
        <v>-34.074999999999989</v>
      </c>
      <c r="P119" s="17">
        <f t="shared" si="38"/>
        <v>54.03005562067181</v>
      </c>
      <c r="V119" s="3"/>
      <c r="W119" s="3"/>
      <c r="X119" s="3"/>
      <c r="Y119" s="3"/>
      <c r="Z119" s="3"/>
    </row>
    <row r="120" spans="1:26" ht="15.75" customHeight="1">
      <c r="A120" s="13">
        <v>46321</v>
      </c>
      <c r="B120" s="13">
        <f t="shared" si="33"/>
        <v>46321</v>
      </c>
      <c r="C120" s="13" t="s">
        <v>71</v>
      </c>
      <c r="D120" s="11" t="s">
        <v>28</v>
      </c>
      <c r="E120" s="14" t="s">
        <v>144</v>
      </c>
      <c r="F120" s="14" t="s">
        <v>33</v>
      </c>
      <c r="G120" s="15">
        <v>5</v>
      </c>
      <c r="H120" s="18">
        <f t="shared" si="34"/>
        <v>13.743128435782111</v>
      </c>
      <c r="I120" s="14">
        <v>1.38</v>
      </c>
      <c r="J120" s="14">
        <v>1.1599999999999999</v>
      </c>
      <c r="K120" s="16">
        <v>5</v>
      </c>
      <c r="L120" s="14" t="s">
        <v>22</v>
      </c>
      <c r="M120" s="17">
        <f t="shared" si="35"/>
        <v>1.8999999999999995</v>
      </c>
      <c r="N120" s="17">
        <f t="shared" si="36"/>
        <v>0.68715642178910563</v>
      </c>
      <c r="O120" s="17">
        <f t="shared" si="37"/>
        <v>-32.17499999999999</v>
      </c>
      <c r="P120" s="17">
        <f t="shared" si="38"/>
        <v>54.717212042460915</v>
      </c>
      <c r="V120" s="3"/>
      <c r="W120" s="3"/>
      <c r="X120" s="3"/>
      <c r="Y120" s="3"/>
      <c r="Z120" s="3"/>
    </row>
    <row r="121" spans="1:26" ht="15.75" customHeight="1">
      <c r="A121" s="13">
        <v>46321</v>
      </c>
      <c r="B121" s="13">
        <f t="shared" ref="B121:B131" si="39">A121</f>
        <v>46321</v>
      </c>
      <c r="C121" s="13" t="s">
        <v>73</v>
      </c>
      <c r="D121" s="11" t="s">
        <v>58</v>
      </c>
      <c r="E121" s="14" t="s">
        <v>145</v>
      </c>
      <c r="F121" s="14" t="s">
        <v>27</v>
      </c>
      <c r="G121" s="15">
        <v>5</v>
      </c>
      <c r="H121" s="18">
        <f t="shared" si="34"/>
        <v>10.588271931736791</v>
      </c>
      <c r="I121" s="14">
        <v>1.97</v>
      </c>
      <c r="J121" s="14">
        <v>1.63</v>
      </c>
      <c r="K121" s="16">
        <v>5</v>
      </c>
      <c r="L121" s="14" t="s">
        <v>23</v>
      </c>
      <c r="M121" s="17">
        <f t="shared" si="35"/>
        <v>-5</v>
      </c>
      <c r="N121" s="17">
        <f t="shared" si="36"/>
        <v>0.52941359658683951</v>
      </c>
      <c r="O121" s="17">
        <f t="shared" si="37"/>
        <v>-37.17499999999999</v>
      </c>
      <c r="P121" s="17">
        <f t="shared" si="38"/>
        <v>55.246625639047757</v>
      </c>
      <c r="V121" s="3"/>
      <c r="W121" s="3"/>
      <c r="X121" s="3"/>
      <c r="Y121" s="3"/>
      <c r="Z121" s="3"/>
    </row>
    <row r="122" spans="1:26" ht="15.75" customHeight="1">
      <c r="A122" s="13">
        <v>46321</v>
      </c>
      <c r="B122" s="13">
        <f t="shared" si="39"/>
        <v>46321</v>
      </c>
      <c r="C122" s="13" t="s">
        <v>102</v>
      </c>
      <c r="D122" s="11" t="s">
        <v>19</v>
      </c>
      <c r="E122" s="14" t="s">
        <v>146</v>
      </c>
      <c r="F122" s="14" t="s">
        <v>66</v>
      </c>
      <c r="G122" s="15">
        <v>5</v>
      </c>
      <c r="H122" s="18">
        <f t="shared" si="34"/>
        <v>11.324639670555932</v>
      </c>
      <c r="I122" s="14">
        <v>1.88</v>
      </c>
      <c r="J122" s="14">
        <v>1.55</v>
      </c>
      <c r="K122" s="16">
        <v>5</v>
      </c>
      <c r="L122" s="14" t="s">
        <v>23</v>
      </c>
      <c r="M122" s="17">
        <f t="shared" si="35"/>
        <v>-5</v>
      </c>
      <c r="N122" s="17">
        <f t="shared" si="36"/>
        <v>0.56623198352779658</v>
      </c>
      <c r="O122" s="17">
        <f t="shared" si="37"/>
        <v>-42.17499999999999</v>
      </c>
      <c r="P122" s="17">
        <f t="shared" si="38"/>
        <v>55.812857622575557</v>
      </c>
      <c r="V122" s="3"/>
      <c r="W122" s="3"/>
      <c r="X122" s="3"/>
      <c r="Y122" s="3"/>
      <c r="Z122" s="3"/>
    </row>
    <row r="123" spans="1:26" ht="15.75" customHeight="1">
      <c r="A123" s="13">
        <v>46321</v>
      </c>
      <c r="B123" s="13">
        <f t="shared" si="39"/>
        <v>46321</v>
      </c>
      <c r="C123" s="13" t="s">
        <v>73</v>
      </c>
      <c r="D123" s="11" t="s">
        <v>90</v>
      </c>
      <c r="E123" s="14" t="s">
        <v>145</v>
      </c>
      <c r="F123" s="14" t="s">
        <v>21</v>
      </c>
      <c r="G123" s="15">
        <v>5</v>
      </c>
      <c r="H123" s="18">
        <f t="shared" si="34"/>
        <v>11.753061981937421</v>
      </c>
      <c r="I123" s="14">
        <v>1.37</v>
      </c>
      <c r="J123" s="14">
        <v>1.18</v>
      </c>
      <c r="K123" s="16">
        <v>5</v>
      </c>
      <c r="L123" s="14" t="s">
        <v>22</v>
      </c>
      <c r="M123" s="17">
        <f t="shared" si="35"/>
        <v>1.8500000000000005</v>
      </c>
      <c r="N123" s="17">
        <f t="shared" si="36"/>
        <v>0.58765309909687102</v>
      </c>
      <c r="O123" s="17">
        <f t="shared" si="37"/>
        <v>-40.324999999999989</v>
      </c>
      <c r="P123" s="17">
        <f t="shared" si="38"/>
        <v>56.400510721672426</v>
      </c>
      <c r="V123" s="3"/>
      <c r="W123" s="3"/>
      <c r="X123" s="3"/>
      <c r="Y123" s="3"/>
      <c r="Z123" s="3"/>
    </row>
    <row r="124" spans="1:26" ht="15.75" customHeight="1">
      <c r="A124" s="13">
        <v>46321</v>
      </c>
      <c r="B124" s="13">
        <f t="shared" si="39"/>
        <v>46321</v>
      </c>
      <c r="C124" s="13" t="s">
        <v>102</v>
      </c>
      <c r="D124" s="11" t="s">
        <v>19</v>
      </c>
      <c r="E124" s="14" t="s">
        <v>147</v>
      </c>
      <c r="F124" s="14" t="s">
        <v>63</v>
      </c>
      <c r="G124" s="15">
        <v>5</v>
      </c>
      <c r="H124" s="18">
        <f t="shared" si="34"/>
        <v>4.7619047619047592</v>
      </c>
      <c r="I124" s="14">
        <v>1.5</v>
      </c>
      <c r="J124" s="14">
        <v>1.4</v>
      </c>
      <c r="K124" s="16">
        <v>5</v>
      </c>
      <c r="L124" s="14" t="s">
        <v>22</v>
      </c>
      <c r="M124" s="17">
        <f t="shared" si="35"/>
        <v>2.5</v>
      </c>
      <c r="N124" s="17">
        <f t="shared" si="36"/>
        <v>0.23809523809523794</v>
      </c>
      <c r="O124" s="17">
        <f t="shared" si="37"/>
        <v>-37.824999999999989</v>
      </c>
      <c r="P124" s="17">
        <f t="shared" si="38"/>
        <v>56.638605959767666</v>
      </c>
      <c r="V124" s="3"/>
      <c r="W124" s="3"/>
      <c r="X124" s="3"/>
      <c r="Y124" s="3"/>
      <c r="Z124" s="3"/>
    </row>
    <row r="125" spans="1:26" ht="15.75" customHeight="1">
      <c r="A125" s="13">
        <v>46321</v>
      </c>
      <c r="B125" s="13">
        <f t="shared" si="39"/>
        <v>46321</v>
      </c>
      <c r="C125" s="13" t="s">
        <v>71</v>
      </c>
      <c r="D125" s="11" t="s">
        <v>24</v>
      </c>
      <c r="E125" s="14" t="s">
        <v>144</v>
      </c>
      <c r="F125" s="14" t="s">
        <v>65</v>
      </c>
      <c r="G125" s="15">
        <v>5</v>
      </c>
      <c r="H125" s="18">
        <f t="shared" si="34"/>
        <v>7.818268687833914</v>
      </c>
      <c r="I125" s="14">
        <v>1.61</v>
      </c>
      <c r="J125" s="14">
        <v>1.43</v>
      </c>
      <c r="K125" s="16">
        <v>5</v>
      </c>
      <c r="L125" s="14" t="s">
        <v>22</v>
      </c>
      <c r="M125" s="17">
        <f t="shared" si="35"/>
        <v>3.0500000000000007</v>
      </c>
      <c r="N125" s="17">
        <f t="shared" si="36"/>
        <v>0.39091343439169568</v>
      </c>
      <c r="O125" s="17">
        <f t="shared" si="37"/>
        <v>-34.774999999999991</v>
      </c>
      <c r="P125" s="17">
        <f t="shared" si="38"/>
        <v>57.029519394159365</v>
      </c>
      <c r="V125" s="3"/>
      <c r="W125" s="3"/>
      <c r="X125" s="3"/>
      <c r="Y125" s="3"/>
      <c r="Z125" s="3"/>
    </row>
    <row r="126" spans="1:26" ht="15.75" customHeight="1">
      <c r="A126" s="13">
        <v>46321</v>
      </c>
      <c r="B126" s="13">
        <f t="shared" si="39"/>
        <v>46321</v>
      </c>
      <c r="C126" s="13" t="s">
        <v>110</v>
      </c>
      <c r="D126" s="11" t="s">
        <v>19</v>
      </c>
      <c r="E126" s="14" t="s">
        <v>148</v>
      </c>
      <c r="F126" s="14" t="s">
        <v>30</v>
      </c>
      <c r="G126" s="15">
        <v>5</v>
      </c>
      <c r="H126" s="18">
        <f t="shared" si="34"/>
        <v>9.139009139009147</v>
      </c>
      <c r="I126" s="14">
        <v>1.54</v>
      </c>
      <c r="J126" s="14">
        <v>1.35</v>
      </c>
      <c r="K126" s="16">
        <v>5</v>
      </c>
      <c r="L126" s="14" t="s">
        <v>22</v>
      </c>
      <c r="M126" s="17">
        <f t="shared" si="35"/>
        <v>2.7</v>
      </c>
      <c r="N126" s="17">
        <f t="shared" si="36"/>
        <v>0.45695045695045733</v>
      </c>
      <c r="O126" s="17">
        <f t="shared" si="37"/>
        <v>-32.074999999999989</v>
      </c>
      <c r="P126" s="17">
        <f t="shared" si="38"/>
        <v>57.486469851109824</v>
      </c>
      <c r="V126" s="3"/>
      <c r="W126" s="3"/>
      <c r="X126" s="3"/>
      <c r="Y126" s="3"/>
      <c r="Z126" s="3"/>
    </row>
    <row r="127" spans="1:26" ht="15.75" customHeight="1">
      <c r="A127" s="13"/>
      <c r="B127" s="13"/>
      <c r="C127" s="13"/>
      <c r="D127" s="11"/>
      <c r="E127" s="14"/>
      <c r="F127" s="14"/>
      <c r="G127" s="15"/>
      <c r="H127" s="18" t="e">
        <f t="shared" si="34"/>
        <v>#DIV/0!</v>
      </c>
      <c r="I127" s="14"/>
      <c r="J127" s="14"/>
      <c r="K127" s="16">
        <v>5</v>
      </c>
      <c r="L127" s="14"/>
      <c r="M127" s="17">
        <f t="shared" si="35"/>
        <v>0</v>
      </c>
      <c r="N127" s="17" t="e">
        <f t="shared" si="36"/>
        <v>#DIV/0!</v>
      </c>
      <c r="O127" s="17">
        <f t="shared" si="37"/>
        <v>-32.074999999999989</v>
      </c>
      <c r="P127" s="17" t="e">
        <f t="shared" si="38"/>
        <v>#DIV/0!</v>
      </c>
      <c r="V127" s="3"/>
      <c r="W127" s="3"/>
      <c r="X127" s="3"/>
      <c r="Y127" s="3"/>
      <c r="Z127" s="3"/>
    </row>
    <row r="128" spans="1:26" ht="15.75" customHeight="1">
      <c r="A128" s="13"/>
      <c r="B128" s="13"/>
      <c r="C128" s="13"/>
      <c r="D128" s="11"/>
      <c r="E128" s="14"/>
      <c r="F128" s="14"/>
      <c r="G128" s="15"/>
      <c r="H128" s="18" t="e">
        <f t="shared" si="34"/>
        <v>#DIV/0!</v>
      </c>
      <c r="I128" s="14"/>
      <c r="J128" s="14"/>
      <c r="K128" s="16">
        <v>5</v>
      </c>
      <c r="L128" s="14"/>
      <c r="M128" s="17">
        <f t="shared" si="35"/>
        <v>0</v>
      </c>
      <c r="N128" s="17" t="e">
        <f t="shared" si="36"/>
        <v>#DIV/0!</v>
      </c>
      <c r="O128" s="17">
        <f t="shared" si="37"/>
        <v>-32.074999999999989</v>
      </c>
      <c r="P128" s="17" t="e">
        <f t="shared" si="38"/>
        <v>#DIV/0!</v>
      </c>
      <c r="V128" s="3"/>
      <c r="W128" s="3"/>
      <c r="X128" s="3"/>
      <c r="Y128" s="3"/>
      <c r="Z128" s="3"/>
    </row>
    <row r="129" spans="1:26" ht="15.75" customHeight="1">
      <c r="A129" s="13"/>
      <c r="B129" s="13"/>
      <c r="C129" s="13"/>
      <c r="D129" s="11"/>
      <c r="E129" s="14"/>
      <c r="F129" s="14"/>
      <c r="G129" s="15"/>
      <c r="H129" s="18" t="e">
        <f t="shared" si="34"/>
        <v>#DIV/0!</v>
      </c>
      <c r="I129" s="14"/>
      <c r="J129" s="14"/>
      <c r="K129" s="16">
        <v>5</v>
      </c>
      <c r="L129" s="14"/>
      <c r="M129" s="17">
        <f t="shared" si="35"/>
        <v>0</v>
      </c>
      <c r="N129" s="17" t="e">
        <f t="shared" si="36"/>
        <v>#DIV/0!</v>
      </c>
      <c r="O129" s="17">
        <f t="shared" si="37"/>
        <v>-32.074999999999989</v>
      </c>
      <c r="P129" s="17" t="e">
        <f t="shared" si="38"/>
        <v>#DIV/0!</v>
      </c>
      <c r="V129" s="3"/>
      <c r="W129" s="3"/>
      <c r="X129" s="3"/>
      <c r="Y129" s="3"/>
      <c r="Z129" s="3"/>
    </row>
    <row r="130" spans="1:26" ht="15.75" customHeight="1">
      <c r="A130" s="13"/>
      <c r="B130" s="13"/>
      <c r="C130" s="13"/>
      <c r="D130" s="11"/>
      <c r="E130" s="14"/>
      <c r="F130" s="14"/>
      <c r="G130" s="15"/>
      <c r="H130" s="18" t="e">
        <f t="shared" si="34"/>
        <v>#DIV/0!</v>
      </c>
      <c r="I130" s="14"/>
      <c r="J130" s="14"/>
      <c r="K130" s="16">
        <v>5</v>
      </c>
      <c r="L130" s="14"/>
      <c r="M130" s="17">
        <f t="shared" si="35"/>
        <v>0</v>
      </c>
      <c r="N130" s="17" t="e">
        <f t="shared" si="36"/>
        <v>#DIV/0!</v>
      </c>
      <c r="O130" s="17">
        <f t="shared" si="37"/>
        <v>-32.074999999999989</v>
      </c>
      <c r="P130" s="17" t="e">
        <f t="shared" si="38"/>
        <v>#DIV/0!</v>
      </c>
      <c r="V130" s="3"/>
      <c r="W130" s="3"/>
      <c r="X130" s="3"/>
      <c r="Y130" s="3"/>
      <c r="Z130" s="3"/>
    </row>
    <row r="131" spans="1:26" ht="15.75" customHeight="1">
      <c r="A131" s="13"/>
      <c r="B131" s="13"/>
      <c r="C131" s="13"/>
      <c r="D131" s="11"/>
      <c r="E131" s="14"/>
      <c r="F131" s="14"/>
      <c r="G131" s="15"/>
      <c r="H131" s="18" t="e">
        <f t="shared" si="34"/>
        <v>#DIV/0!</v>
      </c>
      <c r="I131" s="14"/>
      <c r="J131" s="14"/>
      <c r="K131" s="16">
        <v>5</v>
      </c>
      <c r="L131" s="14"/>
      <c r="M131" s="17">
        <f t="shared" si="35"/>
        <v>0</v>
      </c>
      <c r="N131" s="17" t="e">
        <f t="shared" si="36"/>
        <v>#DIV/0!</v>
      </c>
      <c r="O131" s="17">
        <f t="shared" si="37"/>
        <v>-32.074999999999989</v>
      </c>
      <c r="P131" s="17" t="e">
        <f t="shared" si="38"/>
        <v>#DIV/0!</v>
      </c>
      <c r="V131" s="3"/>
      <c r="W131" s="3"/>
      <c r="X131" s="3"/>
      <c r="Y131" s="3"/>
      <c r="Z131" s="3"/>
    </row>
    <row r="132" spans="1:26" ht="15.75" customHeight="1">
      <c r="A132" s="13"/>
      <c r="B132" s="13"/>
      <c r="C132" s="13"/>
      <c r="D132" s="11"/>
      <c r="E132" s="14"/>
      <c r="F132" s="14"/>
      <c r="G132" s="15"/>
      <c r="H132" s="18" t="e">
        <f t="shared" si="34"/>
        <v>#DIV/0!</v>
      </c>
      <c r="I132" s="14"/>
      <c r="J132" s="14"/>
      <c r="K132" s="16">
        <v>5</v>
      </c>
      <c r="L132" s="14"/>
      <c r="M132" s="17">
        <f t="shared" si="35"/>
        <v>0</v>
      </c>
      <c r="N132" s="17" t="e">
        <f t="shared" si="36"/>
        <v>#DIV/0!</v>
      </c>
      <c r="O132" s="17">
        <f t="shared" si="37"/>
        <v>-32.074999999999989</v>
      </c>
      <c r="P132" s="17" t="e">
        <f t="shared" si="38"/>
        <v>#DIV/0!</v>
      </c>
      <c r="V132" s="3"/>
      <c r="W132" s="3"/>
      <c r="X132" s="3"/>
      <c r="Y132" s="3"/>
      <c r="Z132" s="3"/>
    </row>
    <row r="133" spans="1:26" ht="15.75" customHeight="1">
      <c r="A133" s="13"/>
      <c r="B133" s="13"/>
      <c r="C133" s="13"/>
      <c r="D133" s="11"/>
      <c r="E133" s="14"/>
      <c r="F133" s="14"/>
      <c r="G133" s="15"/>
      <c r="H133" s="18" t="e">
        <f t="shared" si="34"/>
        <v>#DIV/0!</v>
      </c>
      <c r="I133" s="14"/>
      <c r="J133" s="14"/>
      <c r="K133" s="16">
        <v>5</v>
      </c>
      <c r="L133" s="14"/>
      <c r="M133" s="17">
        <f t="shared" si="35"/>
        <v>0</v>
      </c>
      <c r="N133" s="17" t="e">
        <f t="shared" si="36"/>
        <v>#DIV/0!</v>
      </c>
      <c r="O133" s="17">
        <f t="shared" si="37"/>
        <v>-32.074999999999989</v>
      </c>
      <c r="P133" s="17" t="e">
        <f t="shared" si="38"/>
        <v>#DIV/0!</v>
      </c>
      <c r="V133" s="3"/>
      <c r="W133" s="3"/>
      <c r="X133" s="3"/>
      <c r="Y133" s="3"/>
      <c r="Z133" s="3"/>
    </row>
    <row r="134" spans="1:26" ht="15.75" customHeight="1">
      <c r="A134" s="13"/>
      <c r="B134" s="13"/>
      <c r="C134" s="13"/>
      <c r="D134" s="11"/>
      <c r="E134" s="14"/>
      <c r="F134" s="14"/>
      <c r="G134" s="15"/>
      <c r="H134" s="18" t="e">
        <f t="shared" si="34"/>
        <v>#DIV/0!</v>
      </c>
      <c r="I134" s="14"/>
      <c r="J134" s="14"/>
      <c r="K134" s="16">
        <v>5</v>
      </c>
      <c r="L134" s="14"/>
      <c r="M134" s="17">
        <f t="shared" si="35"/>
        <v>0</v>
      </c>
      <c r="N134" s="17" t="e">
        <f t="shared" si="36"/>
        <v>#DIV/0!</v>
      </c>
      <c r="O134" s="17">
        <f t="shared" si="37"/>
        <v>-32.074999999999989</v>
      </c>
      <c r="P134" s="17" t="e">
        <f t="shared" si="38"/>
        <v>#DIV/0!</v>
      </c>
      <c r="V134" s="3"/>
      <c r="W134" s="3"/>
      <c r="X134" s="3"/>
      <c r="Y134" s="3"/>
      <c r="Z134" s="3"/>
    </row>
    <row r="135" spans="1:26" ht="15.75" customHeight="1">
      <c r="A135" s="13"/>
      <c r="B135" s="13"/>
      <c r="C135" s="13"/>
      <c r="D135" s="11"/>
      <c r="E135" s="14"/>
      <c r="F135" s="14"/>
      <c r="G135" s="15"/>
      <c r="H135" s="18" t="e">
        <f t="shared" si="34"/>
        <v>#DIV/0!</v>
      </c>
      <c r="I135" s="14"/>
      <c r="J135" s="14"/>
      <c r="K135" s="16">
        <v>5</v>
      </c>
      <c r="L135" s="14"/>
      <c r="M135" s="17">
        <f t="shared" si="35"/>
        <v>0</v>
      </c>
      <c r="N135" s="17" t="e">
        <f t="shared" si="36"/>
        <v>#DIV/0!</v>
      </c>
      <c r="O135" s="17">
        <f t="shared" si="37"/>
        <v>-32.074999999999989</v>
      </c>
      <c r="P135" s="17" t="e">
        <f t="shared" si="38"/>
        <v>#DIV/0!</v>
      </c>
      <c r="V135" s="3"/>
      <c r="W135" s="3"/>
      <c r="X135" s="3"/>
      <c r="Y135" s="3"/>
      <c r="Z135" s="3"/>
    </row>
    <row r="136" spans="1:26" ht="15.75" customHeight="1">
      <c r="A136" s="13"/>
      <c r="B136" s="13"/>
      <c r="C136" s="13"/>
      <c r="D136" s="11"/>
      <c r="E136" s="14"/>
      <c r="F136" s="14"/>
      <c r="G136" s="15"/>
      <c r="H136" s="18" t="e">
        <f t="shared" si="34"/>
        <v>#DIV/0!</v>
      </c>
      <c r="I136" s="14"/>
      <c r="J136" s="14"/>
      <c r="K136" s="16">
        <v>5</v>
      </c>
      <c r="L136" s="14"/>
      <c r="M136" s="17">
        <f t="shared" si="35"/>
        <v>0</v>
      </c>
      <c r="N136" s="17" t="e">
        <f t="shared" si="36"/>
        <v>#DIV/0!</v>
      </c>
      <c r="O136" s="17">
        <f t="shared" si="37"/>
        <v>-32.074999999999989</v>
      </c>
      <c r="P136" s="17" t="e">
        <f t="shared" si="38"/>
        <v>#DIV/0!</v>
      </c>
      <c r="V136" s="3"/>
      <c r="W136" s="3"/>
      <c r="X136" s="3"/>
      <c r="Y136" s="3"/>
      <c r="Z136" s="3"/>
    </row>
    <row r="137" spans="1:26" ht="15.75" customHeight="1">
      <c r="A137" s="13"/>
      <c r="B137" s="13"/>
      <c r="C137" s="13"/>
      <c r="D137" s="11"/>
      <c r="E137" s="14"/>
      <c r="F137" s="14"/>
      <c r="G137" s="15"/>
      <c r="H137" s="18" t="e">
        <f t="shared" si="34"/>
        <v>#DIV/0!</v>
      </c>
      <c r="I137" s="14"/>
      <c r="J137" s="14"/>
      <c r="K137" s="16">
        <v>5</v>
      </c>
      <c r="L137" s="14"/>
      <c r="M137" s="17">
        <f t="shared" si="35"/>
        <v>0</v>
      </c>
      <c r="N137" s="17" t="e">
        <f t="shared" si="36"/>
        <v>#DIV/0!</v>
      </c>
      <c r="O137" s="17">
        <f t="shared" si="37"/>
        <v>-32.074999999999989</v>
      </c>
      <c r="P137" s="17" t="e">
        <f t="shared" si="38"/>
        <v>#DIV/0!</v>
      </c>
      <c r="V137" s="3"/>
      <c r="W137" s="3"/>
      <c r="X137" s="3"/>
      <c r="Y137" s="3"/>
      <c r="Z137" s="3"/>
    </row>
    <row r="138" spans="1:26" ht="15.75" customHeight="1">
      <c r="A138" s="13"/>
      <c r="B138" s="13"/>
      <c r="C138" s="13"/>
      <c r="D138" s="11"/>
      <c r="E138" s="14"/>
      <c r="F138" s="14"/>
      <c r="G138" s="15"/>
      <c r="H138" s="18" t="e">
        <f t="shared" si="34"/>
        <v>#DIV/0!</v>
      </c>
      <c r="I138" s="14"/>
      <c r="J138" s="14"/>
      <c r="K138" s="16">
        <v>5</v>
      </c>
      <c r="L138" s="14"/>
      <c r="M138" s="17">
        <f t="shared" si="35"/>
        <v>0</v>
      </c>
      <c r="N138" s="17" t="e">
        <f t="shared" si="36"/>
        <v>#DIV/0!</v>
      </c>
      <c r="O138" s="17">
        <f t="shared" si="37"/>
        <v>-32.074999999999989</v>
      </c>
      <c r="P138" s="17" t="e">
        <f t="shared" si="38"/>
        <v>#DIV/0!</v>
      </c>
      <c r="V138" s="3"/>
      <c r="W138" s="3"/>
      <c r="X138" s="3"/>
      <c r="Y138" s="3"/>
      <c r="Z138" s="3"/>
    </row>
    <row r="139" spans="1:26" ht="15.75" customHeight="1">
      <c r="A139" s="13"/>
      <c r="B139" s="13"/>
      <c r="C139" s="13"/>
      <c r="D139" s="11"/>
      <c r="E139" s="14"/>
      <c r="F139" s="14"/>
      <c r="G139" s="15"/>
      <c r="H139" s="18" t="e">
        <f t="shared" si="34"/>
        <v>#DIV/0!</v>
      </c>
      <c r="I139" s="14"/>
      <c r="J139" s="14"/>
      <c r="K139" s="16">
        <v>5</v>
      </c>
      <c r="L139" s="14"/>
      <c r="M139" s="17">
        <f t="shared" si="35"/>
        <v>0</v>
      </c>
      <c r="N139" s="17" t="e">
        <f t="shared" si="36"/>
        <v>#DIV/0!</v>
      </c>
      <c r="O139" s="17">
        <f t="shared" si="37"/>
        <v>-32.074999999999989</v>
      </c>
      <c r="P139" s="17" t="e">
        <f t="shared" si="38"/>
        <v>#DIV/0!</v>
      </c>
      <c r="V139" s="3"/>
      <c r="W139" s="3"/>
      <c r="X139" s="3"/>
      <c r="Y139" s="3"/>
      <c r="Z139" s="3"/>
    </row>
    <row r="140" spans="1:26" ht="15.75" customHeight="1">
      <c r="A140" s="13"/>
      <c r="B140" s="13"/>
      <c r="C140" s="13"/>
      <c r="D140" s="11"/>
      <c r="E140" s="14"/>
      <c r="F140" s="14"/>
      <c r="G140" s="15"/>
      <c r="H140" s="18" t="e">
        <f t="shared" si="34"/>
        <v>#DIV/0!</v>
      </c>
      <c r="I140" s="14"/>
      <c r="J140" s="14"/>
      <c r="K140" s="16">
        <v>5</v>
      </c>
      <c r="L140" s="14"/>
      <c r="M140" s="17">
        <f t="shared" si="35"/>
        <v>0</v>
      </c>
      <c r="N140" s="17" t="e">
        <f t="shared" si="36"/>
        <v>#DIV/0!</v>
      </c>
      <c r="O140" s="17">
        <f t="shared" si="37"/>
        <v>-32.074999999999989</v>
      </c>
      <c r="P140" s="17" t="e">
        <f t="shared" si="38"/>
        <v>#DIV/0!</v>
      </c>
      <c r="V140" s="3"/>
      <c r="W140" s="3"/>
      <c r="X140" s="3"/>
      <c r="Y140" s="3"/>
      <c r="Z140" s="3"/>
    </row>
    <row r="141" spans="1:26" ht="15.75" customHeight="1">
      <c r="A141" s="13"/>
      <c r="B141" s="13"/>
      <c r="C141" s="13"/>
      <c r="D141" s="11"/>
      <c r="E141" s="14"/>
      <c r="F141" s="14"/>
      <c r="G141" s="15"/>
      <c r="H141" s="18" t="e">
        <f t="shared" si="34"/>
        <v>#DIV/0!</v>
      </c>
      <c r="I141" s="14"/>
      <c r="J141" s="14"/>
      <c r="K141" s="16">
        <v>5</v>
      </c>
      <c r="L141" s="14"/>
      <c r="M141" s="17">
        <f t="shared" si="35"/>
        <v>0</v>
      </c>
      <c r="N141" s="17" t="e">
        <f t="shared" si="36"/>
        <v>#DIV/0!</v>
      </c>
      <c r="O141" s="17">
        <f t="shared" si="37"/>
        <v>-32.074999999999989</v>
      </c>
      <c r="P141" s="17" t="e">
        <f t="shared" si="38"/>
        <v>#DIV/0!</v>
      </c>
      <c r="V141" s="3"/>
      <c r="W141" s="3"/>
      <c r="X141" s="3"/>
      <c r="Y141" s="3"/>
      <c r="Z141" s="3"/>
    </row>
    <row r="142" spans="1:26" ht="15.75" customHeight="1">
      <c r="A142" s="13"/>
      <c r="B142" s="13"/>
      <c r="C142" s="13"/>
      <c r="D142" s="11"/>
      <c r="E142" s="14"/>
      <c r="F142" s="14"/>
      <c r="G142" s="15"/>
      <c r="H142" s="18" t="e">
        <f t="shared" si="34"/>
        <v>#DIV/0!</v>
      </c>
      <c r="I142" s="14"/>
      <c r="J142" s="14"/>
      <c r="K142" s="16">
        <v>5</v>
      </c>
      <c r="L142" s="14"/>
      <c r="M142" s="17">
        <f t="shared" si="35"/>
        <v>0</v>
      </c>
      <c r="N142" s="17" t="e">
        <f t="shared" si="36"/>
        <v>#DIV/0!</v>
      </c>
      <c r="O142" s="17">
        <f t="shared" si="37"/>
        <v>-32.074999999999989</v>
      </c>
      <c r="P142" s="17" t="e">
        <f t="shared" si="38"/>
        <v>#DIV/0!</v>
      </c>
      <c r="V142" s="3"/>
      <c r="W142" s="3"/>
      <c r="X142" s="3"/>
      <c r="Y142" s="3"/>
      <c r="Z142" s="3"/>
    </row>
    <row r="143" spans="1:26" ht="15.75" customHeight="1">
      <c r="A143" s="13"/>
      <c r="B143" s="13"/>
      <c r="C143" s="13"/>
      <c r="D143" s="11"/>
      <c r="E143" s="14"/>
      <c r="F143" s="14"/>
      <c r="G143" s="15"/>
      <c r="H143" s="18" t="e">
        <f t="shared" si="34"/>
        <v>#DIV/0!</v>
      </c>
      <c r="I143" s="14"/>
      <c r="J143" s="14"/>
      <c r="K143" s="16">
        <v>5</v>
      </c>
      <c r="L143" s="14"/>
      <c r="M143" s="17">
        <f t="shared" si="35"/>
        <v>0</v>
      </c>
      <c r="N143" s="17" t="e">
        <f t="shared" si="36"/>
        <v>#DIV/0!</v>
      </c>
      <c r="O143" s="17">
        <f t="shared" si="37"/>
        <v>-32.074999999999989</v>
      </c>
      <c r="P143" s="17" t="e">
        <f t="shared" si="38"/>
        <v>#DIV/0!</v>
      </c>
      <c r="V143" s="3"/>
      <c r="W143" s="3"/>
      <c r="X143" s="3"/>
      <c r="Y143" s="3"/>
      <c r="Z143" s="3"/>
    </row>
    <row r="144" spans="1:26" ht="15.75" customHeight="1">
      <c r="A144" s="13"/>
      <c r="B144" s="13"/>
      <c r="C144" s="13"/>
      <c r="D144" s="11"/>
      <c r="E144" s="14"/>
      <c r="F144" s="14"/>
      <c r="G144" s="15"/>
      <c r="H144" s="18" t="e">
        <f t="shared" si="34"/>
        <v>#DIV/0!</v>
      </c>
      <c r="I144" s="14"/>
      <c r="J144" s="14"/>
      <c r="K144" s="16">
        <v>5</v>
      </c>
      <c r="L144" s="14"/>
      <c r="M144" s="17">
        <f t="shared" si="35"/>
        <v>0</v>
      </c>
      <c r="N144" s="17" t="e">
        <f t="shared" si="36"/>
        <v>#DIV/0!</v>
      </c>
      <c r="O144" s="17">
        <f t="shared" si="37"/>
        <v>-32.074999999999989</v>
      </c>
      <c r="P144" s="17" t="e">
        <f t="shared" si="38"/>
        <v>#DIV/0!</v>
      </c>
      <c r="V144" s="3"/>
      <c r="W144" s="3"/>
      <c r="X144" s="3"/>
      <c r="Y144" s="3"/>
      <c r="Z144" s="3"/>
    </row>
    <row r="145" spans="1:26" ht="15.75" customHeight="1">
      <c r="A145" s="13"/>
      <c r="B145" s="13"/>
      <c r="C145" s="13"/>
      <c r="D145" s="11"/>
      <c r="E145" s="14"/>
      <c r="F145" s="14"/>
      <c r="G145" s="15"/>
      <c r="H145" s="18" t="e">
        <f t="shared" si="34"/>
        <v>#DIV/0!</v>
      </c>
      <c r="I145" s="14"/>
      <c r="J145" s="14"/>
      <c r="K145" s="16">
        <v>5</v>
      </c>
      <c r="L145" s="14"/>
      <c r="M145" s="17">
        <f t="shared" si="35"/>
        <v>0</v>
      </c>
      <c r="N145" s="17" t="e">
        <f t="shared" si="36"/>
        <v>#DIV/0!</v>
      </c>
      <c r="O145" s="17">
        <f t="shared" si="37"/>
        <v>-32.074999999999989</v>
      </c>
      <c r="P145" s="17" t="e">
        <f t="shared" si="38"/>
        <v>#DIV/0!</v>
      </c>
      <c r="V145" s="3"/>
      <c r="W145" s="3"/>
      <c r="X145" s="3"/>
      <c r="Y145" s="3"/>
      <c r="Z145" s="3"/>
    </row>
    <row r="146" spans="1:26" ht="15.75" customHeight="1">
      <c r="A146" s="13"/>
      <c r="B146" s="13"/>
      <c r="C146" s="13"/>
      <c r="D146" s="11"/>
      <c r="E146" s="14"/>
      <c r="F146" s="14"/>
      <c r="G146" s="15"/>
      <c r="H146" s="18" t="e">
        <f t="shared" si="34"/>
        <v>#DIV/0!</v>
      </c>
      <c r="I146" s="14"/>
      <c r="J146" s="14"/>
      <c r="K146" s="16">
        <v>5</v>
      </c>
      <c r="L146" s="14"/>
      <c r="M146" s="17">
        <f t="shared" si="35"/>
        <v>0</v>
      </c>
      <c r="N146" s="17" t="e">
        <f t="shared" si="36"/>
        <v>#DIV/0!</v>
      </c>
      <c r="O146" s="17">
        <f t="shared" si="37"/>
        <v>-32.074999999999989</v>
      </c>
      <c r="P146" s="17" t="e">
        <f t="shared" si="38"/>
        <v>#DIV/0!</v>
      </c>
      <c r="V146" s="3"/>
      <c r="W146" s="3"/>
      <c r="X146" s="3"/>
      <c r="Y146" s="3"/>
      <c r="Z146" s="3"/>
    </row>
    <row r="147" spans="1:26" ht="15.75" customHeight="1">
      <c r="A147" s="13"/>
      <c r="B147" s="13"/>
      <c r="C147" s="13"/>
      <c r="D147" s="11"/>
      <c r="E147" s="14"/>
      <c r="F147" s="14"/>
      <c r="G147" s="15"/>
      <c r="H147" s="18" t="e">
        <f t="shared" si="34"/>
        <v>#DIV/0!</v>
      </c>
      <c r="I147" s="14"/>
      <c r="J147" s="14"/>
      <c r="K147" s="16">
        <v>5</v>
      </c>
      <c r="L147" s="14"/>
      <c r="M147" s="17">
        <f t="shared" si="35"/>
        <v>0</v>
      </c>
      <c r="N147" s="17" t="e">
        <f t="shared" si="36"/>
        <v>#DIV/0!</v>
      </c>
      <c r="O147" s="17">
        <f t="shared" si="37"/>
        <v>-32.074999999999989</v>
      </c>
      <c r="P147" s="17" t="e">
        <f t="shared" si="38"/>
        <v>#DIV/0!</v>
      </c>
      <c r="V147" s="3"/>
      <c r="W147" s="3"/>
      <c r="X147" s="3"/>
      <c r="Y147" s="3"/>
      <c r="Z147" s="3"/>
    </row>
    <row r="148" spans="1:26" ht="15.75" customHeight="1">
      <c r="A148" s="13"/>
      <c r="B148" s="13"/>
      <c r="C148" s="13"/>
      <c r="D148" s="11"/>
      <c r="E148" s="14"/>
      <c r="F148" s="14"/>
      <c r="G148" s="15"/>
      <c r="H148" s="18" t="e">
        <f t="shared" si="34"/>
        <v>#DIV/0!</v>
      </c>
      <c r="I148" s="14"/>
      <c r="J148" s="14"/>
      <c r="K148" s="16">
        <v>5</v>
      </c>
      <c r="L148" s="14"/>
      <c r="M148" s="17">
        <f t="shared" si="35"/>
        <v>0</v>
      </c>
      <c r="N148" s="17" t="e">
        <f t="shared" si="36"/>
        <v>#DIV/0!</v>
      </c>
      <c r="O148" s="17">
        <f t="shared" si="37"/>
        <v>-32.074999999999989</v>
      </c>
      <c r="P148" s="17" t="e">
        <f t="shared" si="38"/>
        <v>#DIV/0!</v>
      </c>
      <c r="V148" s="3"/>
      <c r="W148" s="3"/>
      <c r="X148" s="3"/>
      <c r="Y148" s="3"/>
      <c r="Z148" s="3"/>
    </row>
    <row r="149" spans="1:26" ht="15.75" customHeight="1">
      <c r="A149" s="13"/>
      <c r="B149" s="13"/>
      <c r="C149" s="13"/>
      <c r="D149" s="11"/>
      <c r="E149" s="14"/>
      <c r="F149" s="14"/>
      <c r="G149" s="15"/>
      <c r="H149" s="18" t="e">
        <f t="shared" si="34"/>
        <v>#DIV/0!</v>
      </c>
      <c r="I149" s="14"/>
      <c r="J149" s="14"/>
      <c r="K149" s="16">
        <v>5</v>
      </c>
      <c r="L149" s="14"/>
      <c r="M149" s="17">
        <f t="shared" si="35"/>
        <v>0</v>
      </c>
      <c r="N149" s="17" t="e">
        <f t="shared" si="36"/>
        <v>#DIV/0!</v>
      </c>
      <c r="O149" s="17">
        <f t="shared" si="37"/>
        <v>-32.074999999999989</v>
      </c>
      <c r="P149" s="17" t="e">
        <f t="shared" si="38"/>
        <v>#DIV/0!</v>
      </c>
      <c r="V149" s="3"/>
      <c r="W149" s="3"/>
      <c r="X149" s="3"/>
      <c r="Y149" s="3"/>
      <c r="Z149" s="3"/>
    </row>
    <row r="150" spans="1:26" ht="15.75" customHeight="1">
      <c r="A150" s="13"/>
      <c r="B150" s="13"/>
      <c r="C150" s="13"/>
      <c r="D150" s="11"/>
      <c r="E150" s="14"/>
      <c r="F150" s="14"/>
      <c r="G150" s="15"/>
      <c r="H150" s="18" t="e">
        <f t="shared" si="34"/>
        <v>#DIV/0!</v>
      </c>
      <c r="I150" s="14"/>
      <c r="J150" s="14"/>
      <c r="K150" s="16">
        <v>5</v>
      </c>
      <c r="L150" s="14"/>
      <c r="M150" s="17">
        <f t="shared" si="35"/>
        <v>0</v>
      </c>
      <c r="N150" s="17" t="e">
        <f t="shared" si="36"/>
        <v>#DIV/0!</v>
      </c>
      <c r="O150" s="17">
        <f t="shared" si="37"/>
        <v>-32.074999999999989</v>
      </c>
      <c r="P150" s="17" t="e">
        <f t="shared" si="38"/>
        <v>#DIV/0!</v>
      </c>
      <c r="V150" s="3"/>
      <c r="W150" s="3"/>
      <c r="X150" s="3"/>
      <c r="Y150" s="3"/>
      <c r="Z150" s="3"/>
    </row>
    <row r="151" spans="1:26" ht="15.75" customHeight="1">
      <c r="A151" s="13"/>
      <c r="B151" s="13"/>
      <c r="C151" s="13"/>
      <c r="D151" s="11"/>
      <c r="E151" s="14"/>
      <c r="F151" s="14"/>
      <c r="G151" s="15"/>
      <c r="H151" s="18" t="e">
        <f t="shared" si="34"/>
        <v>#DIV/0!</v>
      </c>
      <c r="I151" s="14"/>
      <c r="J151" s="14"/>
      <c r="K151" s="16">
        <v>5</v>
      </c>
      <c r="L151" s="14"/>
      <c r="M151" s="17">
        <f t="shared" si="35"/>
        <v>0</v>
      </c>
      <c r="N151" s="17" t="e">
        <f t="shared" si="36"/>
        <v>#DIV/0!</v>
      </c>
      <c r="O151" s="17">
        <f t="shared" si="37"/>
        <v>-32.074999999999989</v>
      </c>
      <c r="P151" s="17" t="e">
        <f t="shared" si="38"/>
        <v>#DIV/0!</v>
      </c>
      <c r="V151" s="3"/>
      <c r="W151" s="3"/>
      <c r="X151" s="3"/>
      <c r="Y151" s="3"/>
      <c r="Z151" s="3"/>
    </row>
    <row r="152" spans="1:26" ht="15.75" customHeight="1">
      <c r="A152" s="13"/>
      <c r="B152" s="13"/>
      <c r="C152" s="13"/>
      <c r="D152" s="11"/>
      <c r="E152" s="14"/>
      <c r="F152" s="14"/>
      <c r="G152" s="15"/>
      <c r="H152" s="18" t="e">
        <f t="shared" si="34"/>
        <v>#DIV/0!</v>
      </c>
      <c r="I152" s="14"/>
      <c r="J152" s="14"/>
      <c r="K152" s="16">
        <v>5</v>
      </c>
      <c r="L152" s="14"/>
      <c r="M152" s="17">
        <f t="shared" si="35"/>
        <v>0</v>
      </c>
      <c r="N152" s="17" t="e">
        <f t="shared" si="36"/>
        <v>#DIV/0!</v>
      </c>
      <c r="O152" s="17">
        <f t="shared" si="37"/>
        <v>-32.074999999999989</v>
      </c>
      <c r="P152" s="17" t="e">
        <f t="shared" si="38"/>
        <v>#DIV/0!</v>
      </c>
      <c r="V152" s="3"/>
      <c r="W152" s="3"/>
      <c r="X152" s="3"/>
      <c r="Y152" s="3"/>
      <c r="Z152" s="3"/>
    </row>
    <row r="153" spans="1:26" ht="15.75" customHeight="1">
      <c r="A153" s="13"/>
      <c r="B153" s="13"/>
      <c r="C153" s="13"/>
      <c r="D153" s="11"/>
      <c r="E153" s="14"/>
      <c r="F153" s="14"/>
      <c r="G153" s="15"/>
      <c r="H153" s="18" t="e">
        <f t="shared" si="34"/>
        <v>#DIV/0!</v>
      </c>
      <c r="I153" s="14"/>
      <c r="J153" s="14"/>
      <c r="K153" s="16">
        <v>5</v>
      </c>
      <c r="L153" s="14"/>
      <c r="M153" s="17">
        <f t="shared" si="35"/>
        <v>0</v>
      </c>
      <c r="N153" s="17" t="e">
        <f t="shared" si="36"/>
        <v>#DIV/0!</v>
      </c>
      <c r="O153" s="17">
        <f t="shared" si="37"/>
        <v>-32.074999999999989</v>
      </c>
      <c r="P153" s="17" t="e">
        <f t="shared" si="38"/>
        <v>#DIV/0!</v>
      </c>
      <c r="V153" s="3"/>
      <c r="W153" s="3"/>
      <c r="X153" s="3"/>
      <c r="Y153" s="3"/>
      <c r="Z153" s="3"/>
    </row>
    <row r="154" spans="1:26" ht="15.75" customHeight="1">
      <c r="A154" s="13"/>
      <c r="B154" s="13"/>
      <c r="C154" s="13"/>
      <c r="D154" s="11"/>
      <c r="E154" s="14"/>
      <c r="F154" s="14"/>
      <c r="G154" s="15"/>
      <c r="H154" s="18" t="e">
        <f t="shared" si="34"/>
        <v>#DIV/0!</v>
      </c>
      <c r="I154" s="14"/>
      <c r="J154" s="14"/>
      <c r="K154" s="16">
        <v>5</v>
      </c>
      <c r="L154" s="14"/>
      <c r="M154" s="17">
        <f t="shared" si="35"/>
        <v>0</v>
      </c>
      <c r="N154" s="17" t="e">
        <f t="shared" si="36"/>
        <v>#DIV/0!</v>
      </c>
      <c r="O154" s="17">
        <f t="shared" si="37"/>
        <v>-32.074999999999989</v>
      </c>
      <c r="P154" s="17" t="e">
        <f t="shared" si="38"/>
        <v>#DIV/0!</v>
      </c>
      <c r="V154" s="3"/>
      <c r="W154" s="3"/>
      <c r="X154" s="3"/>
      <c r="Y154" s="3"/>
      <c r="Z154" s="3"/>
    </row>
    <row r="155" spans="1:26" ht="15.75" customHeight="1">
      <c r="A155" s="13"/>
      <c r="B155" s="13"/>
      <c r="C155" s="13"/>
      <c r="D155" s="11"/>
      <c r="E155" s="14"/>
      <c r="F155" s="14"/>
      <c r="G155" s="15"/>
      <c r="H155" s="18" t="e">
        <f t="shared" si="34"/>
        <v>#DIV/0!</v>
      </c>
      <c r="I155" s="14"/>
      <c r="J155" s="14"/>
      <c r="K155" s="16">
        <v>5</v>
      </c>
      <c r="L155" s="14"/>
      <c r="M155" s="17">
        <f t="shared" si="35"/>
        <v>0</v>
      </c>
      <c r="N155" s="17" t="e">
        <f t="shared" si="36"/>
        <v>#DIV/0!</v>
      </c>
      <c r="O155" s="17">
        <f t="shared" si="37"/>
        <v>-32.074999999999989</v>
      </c>
      <c r="P155" s="17" t="e">
        <f t="shared" si="38"/>
        <v>#DIV/0!</v>
      </c>
      <c r="V155" s="3"/>
      <c r="W155" s="3"/>
      <c r="X155" s="3"/>
      <c r="Y155" s="3"/>
      <c r="Z155" s="3"/>
    </row>
    <row r="156" spans="1:26" ht="15.75" customHeight="1">
      <c r="A156" s="13"/>
      <c r="B156" s="13"/>
      <c r="C156" s="13"/>
      <c r="D156" s="11"/>
      <c r="E156" s="14"/>
      <c r="F156" s="14"/>
      <c r="G156" s="15"/>
      <c r="H156" s="18" t="e">
        <f t="shared" si="34"/>
        <v>#DIV/0!</v>
      </c>
      <c r="I156" s="14"/>
      <c r="J156" s="14"/>
      <c r="K156" s="16">
        <v>5</v>
      </c>
      <c r="L156" s="14"/>
      <c r="M156" s="17">
        <f t="shared" si="35"/>
        <v>0</v>
      </c>
      <c r="N156" s="17" t="e">
        <f t="shared" si="36"/>
        <v>#DIV/0!</v>
      </c>
      <c r="O156" s="17">
        <f t="shared" si="37"/>
        <v>-32.074999999999989</v>
      </c>
      <c r="P156" s="17" t="e">
        <f t="shared" si="38"/>
        <v>#DIV/0!</v>
      </c>
      <c r="V156" s="3"/>
      <c r="W156" s="3"/>
      <c r="X156" s="3"/>
      <c r="Y156" s="3"/>
      <c r="Z156" s="3"/>
    </row>
    <row r="157" spans="1:26" ht="15.75" customHeight="1">
      <c r="A157" s="13"/>
      <c r="B157" s="13"/>
      <c r="C157" s="13"/>
      <c r="D157" s="11"/>
      <c r="E157" s="14"/>
      <c r="F157" s="14"/>
      <c r="G157" s="15"/>
      <c r="H157" s="18" t="e">
        <f t="shared" si="34"/>
        <v>#DIV/0!</v>
      </c>
      <c r="I157" s="14"/>
      <c r="J157" s="14"/>
      <c r="K157" s="16">
        <v>5</v>
      </c>
      <c r="L157" s="14"/>
      <c r="M157" s="17">
        <f t="shared" si="35"/>
        <v>0</v>
      </c>
      <c r="N157" s="17" t="e">
        <f t="shared" si="36"/>
        <v>#DIV/0!</v>
      </c>
      <c r="O157" s="17">
        <f t="shared" si="37"/>
        <v>-32.074999999999989</v>
      </c>
      <c r="P157" s="17" t="e">
        <f t="shared" si="38"/>
        <v>#DIV/0!</v>
      </c>
      <c r="V157" s="3"/>
      <c r="W157" s="3"/>
      <c r="X157" s="3"/>
      <c r="Y157" s="3"/>
      <c r="Z157" s="3"/>
    </row>
    <row r="158" spans="1:26" ht="15.75" customHeight="1">
      <c r="A158" s="13"/>
      <c r="B158" s="13"/>
      <c r="C158" s="13"/>
      <c r="D158" s="11"/>
      <c r="E158" s="14"/>
      <c r="F158" s="14"/>
      <c r="G158" s="15"/>
      <c r="H158" s="18" t="e">
        <f t="shared" si="34"/>
        <v>#DIV/0!</v>
      </c>
      <c r="I158" s="14"/>
      <c r="J158" s="14"/>
      <c r="K158" s="16">
        <v>5</v>
      </c>
      <c r="L158" s="14"/>
      <c r="M158" s="17">
        <f t="shared" si="35"/>
        <v>0</v>
      </c>
      <c r="N158" s="17" t="e">
        <f t="shared" si="36"/>
        <v>#DIV/0!</v>
      </c>
      <c r="O158" s="17">
        <f t="shared" si="37"/>
        <v>-32.074999999999989</v>
      </c>
      <c r="P158" s="17" t="e">
        <f t="shared" si="38"/>
        <v>#DIV/0!</v>
      </c>
      <c r="V158" s="3"/>
      <c r="W158" s="3"/>
      <c r="X158" s="3"/>
      <c r="Y158" s="3"/>
      <c r="Z158" s="3"/>
    </row>
    <row r="159" spans="1:26" ht="15.75" customHeight="1">
      <c r="A159" s="13"/>
      <c r="B159" s="13"/>
      <c r="C159" s="13"/>
      <c r="D159" s="11"/>
      <c r="E159" s="14"/>
      <c r="F159" s="14"/>
      <c r="G159" s="15"/>
      <c r="H159" s="18" t="e">
        <f t="shared" si="34"/>
        <v>#DIV/0!</v>
      </c>
      <c r="I159" s="14"/>
      <c r="J159" s="14"/>
      <c r="K159" s="16">
        <v>5</v>
      </c>
      <c r="L159" s="14"/>
      <c r="M159" s="17">
        <f t="shared" si="35"/>
        <v>0</v>
      </c>
      <c r="N159" s="17" t="e">
        <f t="shared" si="36"/>
        <v>#DIV/0!</v>
      </c>
      <c r="O159" s="17">
        <f t="shared" si="37"/>
        <v>-32.074999999999989</v>
      </c>
      <c r="P159" s="17" t="e">
        <f t="shared" si="38"/>
        <v>#DIV/0!</v>
      </c>
      <c r="V159" s="3"/>
      <c r="W159" s="3"/>
      <c r="X159" s="3"/>
      <c r="Y159" s="3"/>
      <c r="Z159" s="3"/>
    </row>
    <row r="160" spans="1:26" ht="15.75" customHeight="1">
      <c r="A160" s="13"/>
      <c r="B160" s="13"/>
      <c r="C160" s="13"/>
      <c r="D160" s="11"/>
      <c r="E160" s="14"/>
      <c r="F160" s="14"/>
      <c r="G160" s="15"/>
      <c r="H160" s="18" t="e">
        <f t="shared" si="34"/>
        <v>#DIV/0!</v>
      </c>
      <c r="I160" s="14"/>
      <c r="J160" s="14"/>
      <c r="K160" s="16">
        <v>5</v>
      </c>
      <c r="L160" s="14"/>
      <c r="M160" s="17">
        <f t="shared" si="35"/>
        <v>0</v>
      </c>
      <c r="N160" s="17" t="e">
        <f t="shared" si="36"/>
        <v>#DIV/0!</v>
      </c>
      <c r="O160" s="17">
        <f t="shared" si="37"/>
        <v>-32.074999999999989</v>
      </c>
      <c r="P160" s="17" t="e">
        <f t="shared" si="38"/>
        <v>#DIV/0!</v>
      </c>
      <c r="V160" s="3"/>
      <c r="W160" s="3"/>
      <c r="X160" s="3"/>
      <c r="Y160" s="3"/>
      <c r="Z160" s="3"/>
    </row>
    <row r="161" spans="1:26" ht="15.75" customHeight="1">
      <c r="A161" s="13"/>
      <c r="B161" s="13"/>
      <c r="C161" s="13"/>
      <c r="D161" s="11"/>
      <c r="E161" s="14"/>
      <c r="F161" s="14"/>
      <c r="G161" s="15"/>
      <c r="H161" s="18" t="e">
        <f t="shared" si="34"/>
        <v>#DIV/0!</v>
      </c>
      <c r="I161" s="14"/>
      <c r="J161" s="14"/>
      <c r="K161" s="16">
        <v>5</v>
      </c>
      <c r="L161" s="14"/>
      <c r="M161" s="17">
        <f t="shared" si="35"/>
        <v>0</v>
      </c>
      <c r="N161" s="17" t="e">
        <f t="shared" si="36"/>
        <v>#DIV/0!</v>
      </c>
      <c r="O161" s="17">
        <f t="shared" si="37"/>
        <v>-32.074999999999989</v>
      </c>
      <c r="P161" s="17" t="e">
        <f t="shared" si="38"/>
        <v>#DIV/0!</v>
      </c>
      <c r="V161" s="3"/>
      <c r="W161" s="3"/>
      <c r="X161" s="3"/>
      <c r="Y161" s="3"/>
      <c r="Z161" s="3"/>
    </row>
    <row r="162" spans="1:26" ht="15.75" customHeight="1">
      <c r="A162" s="13"/>
      <c r="B162" s="13"/>
      <c r="C162" s="13"/>
      <c r="D162" s="11"/>
      <c r="E162" s="14"/>
      <c r="F162" s="14"/>
      <c r="G162" s="15"/>
      <c r="H162" s="18" t="e">
        <f t="shared" si="34"/>
        <v>#DIV/0!</v>
      </c>
      <c r="I162" s="14"/>
      <c r="J162" s="14"/>
      <c r="K162" s="16">
        <v>5</v>
      </c>
      <c r="L162" s="14"/>
      <c r="M162" s="17">
        <f t="shared" si="35"/>
        <v>0</v>
      </c>
      <c r="N162" s="17" t="e">
        <f t="shared" si="36"/>
        <v>#DIV/0!</v>
      </c>
      <c r="O162" s="17">
        <f t="shared" si="37"/>
        <v>-32.074999999999989</v>
      </c>
      <c r="P162" s="17" t="e">
        <f t="shared" si="38"/>
        <v>#DIV/0!</v>
      </c>
      <c r="V162" s="3"/>
      <c r="W162" s="3"/>
      <c r="X162" s="3"/>
      <c r="Y162" s="3"/>
      <c r="Z162" s="3"/>
    </row>
    <row r="163" spans="1:26" ht="15.75" customHeight="1">
      <c r="A163" s="13"/>
      <c r="B163" s="13"/>
      <c r="C163" s="13"/>
      <c r="D163" s="11"/>
      <c r="E163" s="14"/>
      <c r="F163" s="14"/>
      <c r="G163" s="15"/>
      <c r="H163" s="18" t="e">
        <f t="shared" si="34"/>
        <v>#DIV/0!</v>
      </c>
      <c r="I163" s="14"/>
      <c r="J163" s="14"/>
      <c r="K163" s="16">
        <v>5</v>
      </c>
      <c r="L163" s="14"/>
      <c r="M163" s="17">
        <f t="shared" si="35"/>
        <v>0</v>
      </c>
      <c r="N163" s="17" t="e">
        <f t="shared" si="36"/>
        <v>#DIV/0!</v>
      </c>
      <c r="O163" s="17">
        <f t="shared" si="37"/>
        <v>-32.074999999999989</v>
      </c>
      <c r="P163" s="17" t="e">
        <f t="shared" si="38"/>
        <v>#DIV/0!</v>
      </c>
      <c r="V163" s="3"/>
      <c r="W163" s="3"/>
      <c r="X163" s="3"/>
      <c r="Y163" s="3"/>
      <c r="Z163" s="3"/>
    </row>
    <row r="164" spans="1:26" ht="15.75" customHeight="1">
      <c r="A164" s="13"/>
      <c r="B164" s="13"/>
      <c r="C164" s="13"/>
      <c r="D164" s="11"/>
      <c r="E164" s="14"/>
      <c r="F164" s="14"/>
      <c r="G164" s="15"/>
      <c r="H164" s="18" t="e">
        <f t="shared" si="34"/>
        <v>#DIV/0!</v>
      </c>
      <c r="I164" s="14"/>
      <c r="J164" s="14"/>
      <c r="K164" s="16">
        <v>5</v>
      </c>
      <c r="L164" s="14"/>
      <c r="M164" s="17">
        <f t="shared" si="35"/>
        <v>0</v>
      </c>
      <c r="N164" s="17" t="e">
        <f t="shared" si="36"/>
        <v>#DIV/0!</v>
      </c>
      <c r="O164" s="17">
        <f t="shared" si="37"/>
        <v>-32.074999999999989</v>
      </c>
      <c r="P164" s="17" t="e">
        <f t="shared" si="38"/>
        <v>#DIV/0!</v>
      </c>
      <c r="V164" s="3"/>
      <c r="W164" s="3"/>
      <c r="X164" s="3"/>
      <c r="Y164" s="3"/>
      <c r="Z164" s="3"/>
    </row>
    <row r="165" spans="1:26" ht="15.75" customHeight="1">
      <c r="A165" s="13"/>
      <c r="B165" s="13"/>
      <c r="C165" s="13"/>
      <c r="D165" s="11"/>
      <c r="E165" s="14"/>
      <c r="F165" s="14"/>
      <c r="G165" s="15"/>
      <c r="H165" s="18" t="e">
        <f t="shared" si="34"/>
        <v>#DIV/0!</v>
      </c>
      <c r="I165" s="14"/>
      <c r="J165" s="14"/>
      <c r="K165" s="16">
        <v>5</v>
      </c>
      <c r="L165" s="14"/>
      <c r="M165" s="17">
        <f t="shared" si="35"/>
        <v>0</v>
      </c>
      <c r="N165" s="17" t="e">
        <f t="shared" si="36"/>
        <v>#DIV/0!</v>
      </c>
      <c r="O165" s="17">
        <f t="shared" si="37"/>
        <v>-32.074999999999989</v>
      </c>
      <c r="P165" s="17" t="e">
        <f t="shared" si="38"/>
        <v>#DIV/0!</v>
      </c>
      <c r="V165" s="3"/>
      <c r="W165" s="3"/>
      <c r="X165" s="3"/>
      <c r="Y165" s="3"/>
      <c r="Z165" s="3"/>
    </row>
    <row r="166" spans="1:26" ht="15.75" customHeight="1">
      <c r="A166" s="13"/>
      <c r="B166" s="13"/>
      <c r="C166" s="13"/>
      <c r="D166" s="11"/>
      <c r="E166" s="14"/>
      <c r="F166" s="14"/>
      <c r="G166" s="15"/>
      <c r="H166" s="18" t="e">
        <f t="shared" si="34"/>
        <v>#DIV/0!</v>
      </c>
      <c r="I166" s="14"/>
      <c r="J166" s="14"/>
      <c r="K166" s="16">
        <v>5</v>
      </c>
      <c r="L166" s="14"/>
      <c r="M166" s="17">
        <f t="shared" si="35"/>
        <v>0</v>
      </c>
      <c r="N166" s="17" t="e">
        <f t="shared" si="36"/>
        <v>#DIV/0!</v>
      </c>
      <c r="O166" s="17">
        <f t="shared" si="37"/>
        <v>-32.074999999999989</v>
      </c>
      <c r="P166" s="17" t="e">
        <f t="shared" si="38"/>
        <v>#DIV/0!</v>
      </c>
      <c r="V166" s="3"/>
      <c r="W166" s="3"/>
      <c r="X166" s="3"/>
      <c r="Y166" s="3"/>
      <c r="Z166" s="3"/>
    </row>
    <row r="167" spans="1:26" ht="15.75" customHeight="1">
      <c r="A167" s="13"/>
      <c r="B167" s="13"/>
      <c r="C167" s="13"/>
      <c r="D167" s="11"/>
      <c r="E167" s="14"/>
      <c r="F167" s="14"/>
      <c r="G167" s="15"/>
      <c r="H167" s="18" t="e">
        <f t="shared" si="34"/>
        <v>#DIV/0!</v>
      </c>
      <c r="I167" s="14"/>
      <c r="J167" s="14"/>
      <c r="K167" s="16">
        <v>5</v>
      </c>
      <c r="L167" s="14"/>
      <c r="M167" s="17">
        <f t="shared" si="35"/>
        <v>0</v>
      </c>
      <c r="N167" s="17" t="e">
        <f t="shared" si="36"/>
        <v>#DIV/0!</v>
      </c>
      <c r="O167" s="17">
        <f t="shared" si="37"/>
        <v>-32.074999999999989</v>
      </c>
      <c r="P167" s="17" t="e">
        <f t="shared" si="38"/>
        <v>#DIV/0!</v>
      </c>
      <c r="V167" s="3"/>
      <c r="W167" s="3"/>
      <c r="X167" s="3"/>
      <c r="Y167" s="3"/>
      <c r="Z167" s="3"/>
    </row>
    <row r="168" spans="1:26" ht="15.75" customHeight="1">
      <c r="A168" s="13"/>
      <c r="B168" s="13"/>
      <c r="C168" s="13"/>
      <c r="D168" s="11"/>
      <c r="E168" s="14"/>
      <c r="F168" s="14"/>
      <c r="G168" s="15"/>
      <c r="H168" s="18" t="e">
        <f t="shared" si="34"/>
        <v>#DIV/0!</v>
      </c>
      <c r="I168" s="14"/>
      <c r="J168" s="14"/>
      <c r="K168" s="16">
        <v>5</v>
      </c>
      <c r="L168" s="14"/>
      <c r="M168" s="17">
        <f t="shared" si="35"/>
        <v>0</v>
      </c>
      <c r="N168" s="17" t="e">
        <f t="shared" si="36"/>
        <v>#DIV/0!</v>
      </c>
      <c r="O168" s="17">
        <f t="shared" si="37"/>
        <v>-32.074999999999989</v>
      </c>
      <c r="P168" s="17" t="e">
        <f t="shared" si="38"/>
        <v>#DIV/0!</v>
      </c>
      <c r="V168" s="3"/>
      <c r="W168" s="3"/>
      <c r="X168" s="3"/>
      <c r="Y168" s="3"/>
      <c r="Z168" s="3"/>
    </row>
    <row r="169" spans="1:26" ht="15.75" customHeight="1">
      <c r="A169" s="13"/>
      <c r="B169" s="13"/>
      <c r="C169" s="13"/>
      <c r="D169" s="11"/>
      <c r="E169" s="14"/>
      <c r="F169" s="14"/>
      <c r="G169" s="15"/>
      <c r="H169" s="18" t="e">
        <f t="shared" si="34"/>
        <v>#DIV/0!</v>
      </c>
      <c r="I169" s="14"/>
      <c r="J169" s="14"/>
      <c r="K169" s="16">
        <v>5</v>
      </c>
      <c r="L169" s="14"/>
      <c r="M169" s="17">
        <f t="shared" si="35"/>
        <v>0</v>
      </c>
      <c r="N169" s="17" t="e">
        <f t="shared" si="36"/>
        <v>#DIV/0!</v>
      </c>
      <c r="O169" s="17">
        <f t="shared" si="37"/>
        <v>-32.074999999999989</v>
      </c>
      <c r="P169" s="17" t="e">
        <f t="shared" si="38"/>
        <v>#DIV/0!</v>
      </c>
      <c r="V169" s="3"/>
      <c r="W169" s="3"/>
      <c r="X169" s="3"/>
      <c r="Y169" s="3"/>
      <c r="Z169" s="3"/>
    </row>
    <row r="170" spans="1:26" ht="15.75" customHeight="1">
      <c r="A170" s="13"/>
      <c r="B170" s="13"/>
      <c r="C170" s="13"/>
      <c r="D170" s="11"/>
      <c r="E170" s="14"/>
      <c r="F170" s="14"/>
      <c r="G170" s="15"/>
      <c r="H170" s="18" t="e">
        <f t="shared" si="34"/>
        <v>#DIV/0!</v>
      </c>
      <c r="I170" s="14"/>
      <c r="J170" s="14"/>
      <c r="K170" s="16">
        <v>5</v>
      </c>
      <c r="L170" s="14"/>
      <c r="M170" s="17">
        <f t="shared" si="35"/>
        <v>0</v>
      </c>
      <c r="N170" s="17" t="e">
        <f t="shared" si="36"/>
        <v>#DIV/0!</v>
      </c>
      <c r="O170" s="17">
        <f t="shared" si="37"/>
        <v>-32.074999999999989</v>
      </c>
      <c r="P170" s="17" t="e">
        <f t="shared" si="38"/>
        <v>#DIV/0!</v>
      </c>
      <c r="V170" s="3"/>
      <c r="W170" s="3"/>
      <c r="X170" s="3"/>
      <c r="Y170" s="3"/>
      <c r="Z170" s="3"/>
    </row>
    <row r="171" spans="1:26" ht="15.75" customHeight="1">
      <c r="A171" s="13"/>
      <c r="B171" s="13"/>
      <c r="C171" s="13"/>
      <c r="D171" s="11"/>
      <c r="E171" s="14"/>
      <c r="F171" s="14"/>
      <c r="G171" s="15"/>
      <c r="H171" s="18" t="e">
        <f t="shared" si="34"/>
        <v>#DIV/0!</v>
      </c>
      <c r="I171" s="14"/>
      <c r="J171" s="14"/>
      <c r="K171" s="16">
        <v>5</v>
      </c>
      <c r="L171" s="14"/>
      <c r="M171" s="17">
        <f t="shared" si="35"/>
        <v>0</v>
      </c>
      <c r="N171" s="17" t="e">
        <f t="shared" si="36"/>
        <v>#DIV/0!</v>
      </c>
      <c r="O171" s="17">
        <f t="shared" si="37"/>
        <v>-32.074999999999989</v>
      </c>
      <c r="P171" s="17" t="e">
        <f t="shared" si="38"/>
        <v>#DIV/0!</v>
      </c>
      <c r="V171" s="3"/>
      <c r="W171" s="3"/>
      <c r="X171" s="3"/>
      <c r="Y171" s="3"/>
      <c r="Z171" s="3"/>
    </row>
    <row r="172" spans="1:26" ht="15.75" customHeight="1">
      <c r="A172" s="13"/>
      <c r="B172" s="13"/>
      <c r="C172" s="13"/>
      <c r="D172" s="11"/>
      <c r="E172" s="14"/>
      <c r="F172" s="14"/>
      <c r="G172" s="15"/>
      <c r="H172" s="18" t="e">
        <f t="shared" si="34"/>
        <v>#DIV/0!</v>
      </c>
      <c r="I172" s="14"/>
      <c r="J172" s="14"/>
      <c r="K172" s="16">
        <v>5</v>
      </c>
      <c r="L172" s="14"/>
      <c r="M172" s="17">
        <f t="shared" si="35"/>
        <v>0</v>
      </c>
      <c r="N172" s="17" t="e">
        <f t="shared" si="36"/>
        <v>#DIV/0!</v>
      </c>
      <c r="O172" s="17">
        <f t="shared" si="37"/>
        <v>-32.074999999999989</v>
      </c>
      <c r="P172" s="17" t="e">
        <f t="shared" si="38"/>
        <v>#DIV/0!</v>
      </c>
      <c r="V172" s="3"/>
      <c r="W172" s="3"/>
      <c r="X172" s="3"/>
      <c r="Y172" s="3"/>
      <c r="Z172" s="3"/>
    </row>
    <row r="173" spans="1:26" ht="15.75" customHeight="1">
      <c r="A173" s="13"/>
      <c r="B173" s="13"/>
      <c r="C173" s="13"/>
      <c r="D173" s="11"/>
      <c r="E173" s="14"/>
      <c r="F173" s="14"/>
      <c r="G173" s="15"/>
      <c r="H173" s="18" t="e">
        <f t="shared" si="34"/>
        <v>#DIV/0!</v>
      </c>
      <c r="I173" s="14"/>
      <c r="J173" s="14"/>
      <c r="K173" s="16">
        <v>5</v>
      </c>
      <c r="L173" s="14"/>
      <c r="M173" s="17">
        <f t="shared" si="35"/>
        <v>0</v>
      </c>
      <c r="N173" s="17" t="e">
        <f t="shared" si="36"/>
        <v>#DIV/0!</v>
      </c>
      <c r="O173" s="17">
        <f t="shared" si="37"/>
        <v>-32.074999999999989</v>
      </c>
      <c r="P173" s="17" t="e">
        <f t="shared" si="38"/>
        <v>#DIV/0!</v>
      </c>
      <c r="V173" s="3"/>
      <c r="W173" s="3"/>
      <c r="X173" s="3"/>
      <c r="Y173" s="3"/>
      <c r="Z173" s="3"/>
    </row>
    <row r="174" spans="1:26" ht="15.75" customHeight="1">
      <c r="A174" s="13"/>
      <c r="B174" s="13"/>
      <c r="C174" s="13"/>
      <c r="D174" s="11"/>
      <c r="E174" s="14"/>
      <c r="F174" s="14"/>
      <c r="G174" s="15"/>
      <c r="H174" s="18" t="e">
        <f t="shared" si="34"/>
        <v>#DIV/0!</v>
      </c>
      <c r="I174" s="14"/>
      <c r="J174" s="14"/>
      <c r="K174" s="16">
        <v>5</v>
      </c>
      <c r="L174" s="14"/>
      <c r="M174" s="17">
        <f t="shared" si="35"/>
        <v>0</v>
      </c>
      <c r="N174" s="17" t="e">
        <f t="shared" si="36"/>
        <v>#DIV/0!</v>
      </c>
      <c r="O174" s="17">
        <f t="shared" si="37"/>
        <v>-32.074999999999989</v>
      </c>
      <c r="P174" s="17" t="e">
        <f t="shared" si="38"/>
        <v>#DIV/0!</v>
      </c>
      <c r="V174" s="3"/>
      <c r="W174" s="3"/>
      <c r="X174" s="3"/>
      <c r="Y174" s="3"/>
      <c r="Z174" s="3"/>
    </row>
    <row r="175" spans="1:26" ht="15.75" customHeight="1">
      <c r="A175" s="13"/>
      <c r="B175" s="13"/>
      <c r="C175" s="13"/>
      <c r="D175" s="11"/>
      <c r="E175" s="14"/>
      <c r="F175" s="14"/>
      <c r="G175" s="15"/>
      <c r="H175" s="18" t="e">
        <f t="shared" si="34"/>
        <v>#DIV/0!</v>
      </c>
      <c r="I175" s="14"/>
      <c r="J175" s="14"/>
      <c r="K175" s="16">
        <v>5</v>
      </c>
      <c r="L175" s="14"/>
      <c r="M175" s="17">
        <f t="shared" si="35"/>
        <v>0</v>
      </c>
      <c r="N175" s="17" t="e">
        <f t="shared" si="36"/>
        <v>#DIV/0!</v>
      </c>
      <c r="O175" s="17">
        <f t="shared" si="37"/>
        <v>-32.074999999999989</v>
      </c>
      <c r="P175" s="17" t="e">
        <f t="shared" si="38"/>
        <v>#DIV/0!</v>
      </c>
      <c r="V175" s="3"/>
      <c r="W175" s="3"/>
      <c r="X175" s="3"/>
      <c r="Y175" s="3"/>
      <c r="Z175" s="3"/>
    </row>
    <row r="176" spans="1:26" ht="15.75" customHeight="1">
      <c r="A176" s="13"/>
      <c r="B176" s="13"/>
      <c r="C176" s="13"/>
      <c r="D176" s="11"/>
      <c r="E176" s="14"/>
      <c r="F176" s="14"/>
      <c r="G176" s="15"/>
      <c r="H176" s="18" t="e">
        <f t="shared" si="34"/>
        <v>#DIV/0!</v>
      </c>
      <c r="I176" s="14"/>
      <c r="J176" s="14"/>
      <c r="K176" s="16">
        <v>5</v>
      </c>
      <c r="L176" s="14"/>
      <c r="M176" s="17">
        <f t="shared" si="35"/>
        <v>0</v>
      </c>
      <c r="N176" s="17" t="e">
        <f t="shared" si="36"/>
        <v>#DIV/0!</v>
      </c>
      <c r="O176" s="17">
        <f t="shared" si="37"/>
        <v>-32.074999999999989</v>
      </c>
      <c r="P176" s="17" t="e">
        <f t="shared" si="38"/>
        <v>#DIV/0!</v>
      </c>
      <c r="V176" s="3"/>
      <c r="W176" s="3"/>
      <c r="X176" s="3"/>
      <c r="Y176" s="3"/>
      <c r="Z176" s="3"/>
    </row>
    <row r="177" spans="1:26" ht="15.75" customHeight="1">
      <c r="A177" s="13"/>
      <c r="B177" s="13"/>
      <c r="C177" s="13"/>
      <c r="D177" s="11"/>
      <c r="E177" s="14"/>
      <c r="F177" s="14"/>
      <c r="G177" s="15"/>
      <c r="H177" s="18" t="e">
        <f t="shared" si="34"/>
        <v>#DIV/0!</v>
      </c>
      <c r="I177" s="14"/>
      <c r="J177" s="14"/>
      <c r="K177" s="16">
        <v>5</v>
      </c>
      <c r="L177" s="14"/>
      <c r="M177" s="17">
        <f t="shared" si="35"/>
        <v>0</v>
      </c>
      <c r="N177" s="17" t="e">
        <f t="shared" si="36"/>
        <v>#DIV/0!</v>
      </c>
      <c r="O177" s="17">
        <f t="shared" si="37"/>
        <v>-32.074999999999989</v>
      </c>
      <c r="P177" s="17" t="e">
        <f t="shared" si="38"/>
        <v>#DIV/0!</v>
      </c>
      <c r="V177" s="3"/>
      <c r="W177" s="3"/>
      <c r="X177" s="3"/>
      <c r="Y177" s="3"/>
      <c r="Z177" s="3"/>
    </row>
    <row r="178" spans="1:26" ht="15.75" customHeight="1">
      <c r="A178" s="13"/>
      <c r="B178" s="13"/>
      <c r="C178" s="13"/>
      <c r="D178" s="11"/>
      <c r="E178" s="14"/>
      <c r="F178" s="14"/>
      <c r="G178" s="15"/>
      <c r="H178" s="18" t="e">
        <f t="shared" si="34"/>
        <v>#DIV/0!</v>
      </c>
      <c r="I178" s="14"/>
      <c r="J178" s="14"/>
      <c r="K178" s="16">
        <v>5</v>
      </c>
      <c r="L178" s="14"/>
      <c r="M178" s="17">
        <f t="shared" si="35"/>
        <v>0</v>
      </c>
      <c r="N178" s="17" t="e">
        <f t="shared" si="36"/>
        <v>#DIV/0!</v>
      </c>
      <c r="O178" s="17">
        <f t="shared" si="37"/>
        <v>-32.074999999999989</v>
      </c>
      <c r="P178" s="17" t="e">
        <f t="shared" si="38"/>
        <v>#DIV/0!</v>
      </c>
      <c r="V178" s="3"/>
      <c r="W178" s="3"/>
      <c r="X178" s="3"/>
      <c r="Y178" s="3"/>
      <c r="Z178" s="3"/>
    </row>
    <row r="179" spans="1:26" ht="15.75" customHeight="1">
      <c r="A179" s="13"/>
      <c r="B179" s="13"/>
      <c r="C179" s="13"/>
      <c r="D179" s="11"/>
      <c r="E179" s="14"/>
      <c r="F179" s="14"/>
      <c r="G179" s="15"/>
      <c r="H179" s="18" t="e">
        <f t="shared" ref="H179:H226" si="40">SUM(100/J179-100/I179)</f>
        <v>#DIV/0!</v>
      </c>
      <c r="I179" s="14"/>
      <c r="J179" s="14"/>
      <c r="K179" s="16">
        <v>5</v>
      </c>
      <c r="L179" s="14"/>
      <c r="M179" s="17">
        <f t="shared" ref="M179:M226" si="41">IF(L179="Persa",-G179,G179*(I179-1))</f>
        <v>0</v>
      </c>
      <c r="N179" s="17" t="e">
        <f t="shared" ref="N179:N226" si="42">+G179*(H179/100)</f>
        <v>#DIV/0!</v>
      </c>
      <c r="O179" s="17">
        <f t="shared" ref="O179:O226" si="43">M179+O178</f>
        <v>-32.074999999999989</v>
      </c>
      <c r="P179" s="17" t="e">
        <f t="shared" ref="P179:P226" si="44">P178+N179</f>
        <v>#DIV/0!</v>
      </c>
      <c r="V179" s="3"/>
      <c r="W179" s="3"/>
      <c r="X179" s="3"/>
      <c r="Y179" s="3"/>
      <c r="Z179" s="3"/>
    </row>
    <row r="180" spans="1:26" ht="15.75" customHeight="1">
      <c r="A180" s="13"/>
      <c r="B180" s="13"/>
      <c r="C180" s="13"/>
      <c r="D180" s="11"/>
      <c r="E180" s="14"/>
      <c r="F180" s="14"/>
      <c r="G180" s="15"/>
      <c r="H180" s="18" t="e">
        <f t="shared" si="40"/>
        <v>#DIV/0!</v>
      </c>
      <c r="I180" s="14"/>
      <c r="J180" s="14"/>
      <c r="K180" s="16">
        <v>5</v>
      </c>
      <c r="L180" s="14"/>
      <c r="M180" s="17">
        <f t="shared" si="41"/>
        <v>0</v>
      </c>
      <c r="N180" s="17" t="e">
        <f t="shared" si="42"/>
        <v>#DIV/0!</v>
      </c>
      <c r="O180" s="17">
        <f t="shared" si="43"/>
        <v>-32.074999999999989</v>
      </c>
      <c r="P180" s="17" t="e">
        <f t="shared" si="44"/>
        <v>#DIV/0!</v>
      </c>
      <c r="V180" s="3"/>
      <c r="W180" s="3"/>
      <c r="X180" s="3"/>
      <c r="Y180" s="3"/>
      <c r="Z180" s="3"/>
    </row>
    <row r="181" spans="1:26" ht="15.75" customHeight="1">
      <c r="A181" s="13"/>
      <c r="B181" s="13"/>
      <c r="C181" s="13"/>
      <c r="D181" s="11"/>
      <c r="E181" s="14"/>
      <c r="F181" s="14"/>
      <c r="G181" s="15"/>
      <c r="H181" s="18" t="e">
        <f t="shared" si="40"/>
        <v>#DIV/0!</v>
      </c>
      <c r="I181" s="14"/>
      <c r="J181" s="14"/>
      <c r="K181" s="16">
        <v>5</v>
      </c>
      <c r="L181" s="14"/>
      <c r="M181" s="17">
        <f t="shared" si="41"/>
        <v>0</v>
      </c>
      <c r="N181" s="17" t="e">
        <f t="shared" si="42"/>
        <v>#DIV/0!</v>
      </c>
      <c r="O181" s="17">
        <f t="shared" si="43"/>
        <v>-32.074999999999989</v>
      </c>
      <c r="P181" s="17" t="e">
        <f t="shared" si="44"/>
        <v>#DIV/0!</v>
      </c>
      <c r="V181" s="3"/>
      <c r="W181" s="3"/>
      <c r="X181" s="3"/>
      <c r="Y181" s="3"/>
      <c r="Z181" s="3"/>
    </row>
    <row r="182" spans="1:26" ht="15.75" customHeight="1">
      <c r="A182" s="13"/>
      <c r="B182" s="13"/>
      <c r="C182" s="13"/>
      <c r="D182" s="11"/>
      <c r="E182" s="14"/>
      <c r="F182" s="14"/>
      <c r="G182" s="15"/>
      <c r="H182" s="18" t="e">
        <f t="shared" si="40"/>
        <v>#DIV/0!</v>
      </c>
      <c r="I182" s="14"/>
      <c r="J182" s="14"/>
      <c r="K182" s="16">
        <v>5</v>
      </c>
      <c r="L182" s="14"/>
      <c r="M182" s="17">
        <f t="shared" si="41"/>
        <v>0</v>
      </c>
      <c r="N182" s="17" t="e">
        <f t="shared" si="42"/>
        <v>#DIV/0!</v>
      </c>
      <c r="O182" s="17">
        <f t="shared" si="43"/>
        <v>-32.074999999999989</v>
      </c>
      <c r="P182" s="17" t="e">
        <f t="shared" si="44"/>
        <v>#DIV/0!</v>
      </c>
      <c r="V182" s="3"/>
      <c r="W182" s="3"/>
      <c r="X182" s="3"/>
      <c r="Y182" s="3"/>
      <c r="Z182" s="3"/>
    </row>
    <row r="183" spans="1:26" ht="15.75" customHeight="1">
      <c r="A183" s="13"/>
      <c r="B183" s="13"/>
      <c r="C183" s="13"/>
      <c r="D183" s="11"/>
      <c r="E183" s="14"/>
      <c r="F183" s="14"/>
      <c r="G183" s="15"/>
      <c r="H183" s="18" t="e">
        <f t="shared" si="40"/>
        <v>#DIV/0!</v>
      </c>
      <c r="I183" s="14"/>
      <c r="J183" s="14"/>
      <c r="K183" s="16">
        <v>5</v>
      </c>
      <c r="L183" s="14"/>
      <c r="M183" s="17">
        <f t="shared" si="41"/>
        <v>0</v>
      </c>
      <c r="N183" s="17" t="e">
        <f t="shared" si="42"/>
        <v>#DIV/0!</v>
      </c>
      <c r="O183" s="17">
        <f t="shared" si="43"/>
        <v>-32.074999999999989</v>
      </c>
      <c r="P183" s="17" t="e">
        <f t="shared" si="44"/>
        <v>#DIV/0!</v>
      </c>
      <c r="V183" s="3"/>
      <c r="W183" s="3"/>
      <c r="X183" s="3"/>
      <c r="Y183" s="3"/>
      <c r="Z183" s="3"/>
    </row>
    <row r="184" spans="1:26" ht="15.75" customHeight="1">
      <c r="A184" s="13"/>
      <c r="B184" s="13"/>
      <c r="C184" s="13"/>
      <c r="D184" s="11"/>
      <c r="E184" s="14"/>
      <c r="F184" s="14"/>
      <c r="G184" s="15"/>
      <c r="H184" s="18" t="e">
        <f t="shared" si="40"/>
        <v>#DIV/0!</v>
      </c>
      <c r="I184" s="14"/>
      <c r="J184" s="14"/>
      <c r="K184" s="16">
        <v>5</v>
      </c>
      <c r="L184" s="14"/>
      <c r="M184" s="17">
        <f t="shared" si="41"/>
        <v>0</v>
      </c>
      <c r="N184" s="17" t="e">
        <f t="shared" si="42"/>
        <v>#DIV/0!</v>
      </c>
      <c r="O184" s="17">
        <f t="shared" si="43"/>
        <v>-32.074999999999989</v>
      </c>
      <c r="P184" s="17" t="e">
        <f t="shared" si="44"/>
        <v>#DIV/0!</v>
      </c>
      <c r="V184" s="3"/>
      <c r="W184" s="3"/>
      <c r="X184" s="3"/>
      <c r="Y184" s="3"/>
      <c r="Z184" s="3"/>
    </row>
    <row r="185" spans="1:26" ht="15.75" customHeight="1">
      <c r="A185" s="13"/>
      <c r="B185" s="13"/>
      <c r="C185" s="13"/>
      <c r="D185" s="11"/>
      <c r="E185" s="14"/>
      <c r="F185" s="14"/>
      <c r="G185" s="15"/>
      <c r="H185" s="18" t="e">
        <f t="shared" si="40"/>
        <v>#DIV/0!</v>
      </c>
      <c r="I185" s="14"/>
      <c r="J185" s="14"/>
      <c r="K185" s="16">
        <v>5</v>
      </c>
      <c r="L185" s="14"/>
      <c r="M185" s="17">
        <f t="shared" si="41"/>
        <v>0</v>
      </c>
      <c r="N185" s="17" t="e">
        <f t="shared" si="42"/>
        <v>#DIV/0!</v>
      </c>
      <c r="O185" s="17">
        <f t="shared" si="43"/>
        <v>-32.074999999999989</v>
      </c>
      <c r="P185" s="17" t="e">
        <f t="shared" si="44"/>
        <v>#DIV/0!</v>
      </c>
      <c r="V185" s="3"/>
      <c r="W185" s="3"/>
      <c r="X185" s="3"/>
      <c r="Y185" s="3"/>
      <c r="Z185" s="3"/>
    </row>
    <row r="186" spans="1:26" ht="15.75" customHeight="1">
      <c r="A186" s="13"/>
      <c r="B186" s="13"/>
      <c r="C186" s="13"/>
      <c r="D186" s="11"/>
      <c r="E186" s="14"/>
      <c r="F186" s="14"/>
      <c r="G186" s="15"/>
      <c r="H186" s="18" t="e">
        <f t="shared" si="40"/>
        <v>#DIV/0!</v>
      </c>
      <c r="I186" s="14"/>
      <c r="J186" s="14"/>
      <c r="K186" s="16">
        <v>5</v>
      </c>
      <c r="L186" s="14"/>
      <c r="M186" s="17">
        <f t="shared" si="41"/>
        <v>0</v>
      </c>
      <c r="N186" s="17" t="e">
        <f t="shared" si="42"/>
        <v>#DIV/0!</v>
      </c>
      <c r="O186" s="17">
        <f t="shared" si="43"/>
        <v>-32.074999999999989</v>
      </c>
      <c r="P186" s="17" t="e">
        <f t="shared" si="44"/>
        <v>#DIV/0!</v>
      </c>
      <c r="V186" s="3"/>
      <c r="W186" s="3"/>
      <c r="X186" s="3"/>
      <c r="Y186" s="3"/>
      <c r="Z186" s="3"/>
    </row>
    <row r="187" spans="1:26" ht="15.75" customHeight="1">
      <c r="A187" s="13"/>
      <c r="B187" s="13"/>
      <c r="C187" s="13"/>
      <c r="D187" s="11"/>
      <c r="E187" s="14"/>
      <c r="F187" s="14"/>
      <c r="G187" s="15"/>
      <c r="H187" s="18" t="e">
        <f t="shared" si="40"/>
        <v>#DIV/0!</v>
      </c>
      <c r="I187" s="14"/>
      <c r="J187" s="14"/>
      <c r="K187" s="16">
        <v>5</v>
      </c>
      <c r="L187" s="14"/>
      <c r="M187" s="17">
        <f t="shared" si="41"/>
        <v>0</v>
      </c>
      <c r="N187" s="17" t="e">
        <f t="shared" si="42"/>
        <v>#DIV/0!</v>
      </c>
      <c r="O187" s="17">
        <f t="shared" si="43"/>
        <v>-32.074999999999989</v>
      </c>
      <c r="P187" s="17" t="e">
        <f t="shared" si="44"/>
        <v>#DIV/0!</v>
      </c>
      <c r="V187" s="3"/>
      <c r="W187" s="3"/>
      <c r="X187" s="3"/>
      <c r="Y187" s="3"/>
      <c r="Z187" s="3"/>
    </row>
    <row r="188" spans="1:26" ht="15.75" customHeight="1">
      <c r="A188" s="13"/>
      <c r="B188" s="13"/>
      <c r="C188" s="13"/>
      <c r="D188" s="11"/>
      <c r="E188" s="14"/>
      <c r="F188" s="14"/>
      <c r="G188" s="15"/>
      <c r="H188" s="18" t="e">
        <f t="shared" si="40"/>
        <v>#DIV/0!</v>
      </c>
      <c r="I188" s="14"/>
      <c r="J188" s="14"/>
      <c r="K188" s="16">
        <v>5</v>
      </c>
      <c r="L188" s="14"/>
      <c r="M188" s="17">
        <f t="shared" si="41"/>
        <v>0</v>
      </c>
      <c r="N188" s="17" t="e">
        <f t="shared" si="42"/>
        <v>#DIV/0!</v>
      </c>
      <c r="O188" s="17">
        <f t="shared" si="43"/>
        <v>-32.074999999999989</v>
      </c>
      <c r="P188" s="17" t="e">
        <f t="shared" si="44"/>
        <v>#DIV/0!</v>
      </c>
      <c r="V188" s="3"/>
      <c r="W188" s="3"/>
      <c r="X188" s="3"/>
      <c r="Y188" s="3"/>
      <c r="Z188" s="3"/>
    </row>
    <row r="189" spans="1:26" ht="15.75" customHeight="1">
      <c r="A189" s="13"/>
      <c r="B189" s="13"/>
      <c r="C189" s="13"/>
      <c r="D189" s="11"/>
      <c r="E189" s="14"/>
      <c r="F189" s="14"/>
      <c r="G189" s="15"/>
      <c r="H189" s="18" t="e">
        <f t="shared" si="40"/>
        <v>#DIV/0!</v>
      </c>
      <c r="I189" s="14"/>
      <c r="J189" s="14"/>
      <c r="K189" s="16">
        <v>5</v>
      </c>
      <c r="L189" s="14"/>
      <c r="M189" s="17">
        <f t="shared" si="41"/>
        <v>0</v>
      </c>
      <c r="N189" s="17" t="e">
        <f t="shared" si="42"/>
        <v>#DIV/0!</v>
      </c>
      <c r="O189" s="17">
        <f t="shared" si="43"/>
        <v>-32.074999999999989</v>
      </c>
      <c r="P189" s="17" t="e">
        <f t="shared" si="44"/>
        <v>#DIV/0!</v>
      </c>
      <c r="V189" s="3"/>
      <c r="W189" s="3"/>
      <c r="X189" s="3"/>
      <c r="Y189" s="3"/>
      <c r="Z189" s="3"/>
    </row>
    <row r="190" spans="1:26" ht="15.75" customHeight="1">
      <c r="A190" s="13"/>
      <c r="B190" s="13"/>
      <c r="C190" s="13"/>
      <c r="D190" s="11"/>
      <c r="E190" s="14"/>
      <c r="F190" s="14"/>
      <c r="G190" s="15"/>
      <c r="H190" s="18" t="e">
        <f t="shared" si="40"/>
        <v>#DIV/0!</v>
      </c>
      <c r="I190" s="14"/>
      <c r="J190" s="14"/>
      <c r="K190" s="16">
        <v>5</v>
      </c>
      <c r="L190" s="14"/>
      <c r="M190" s="17">
        <f t="shared" si="41"/>
        <v>0</v>
      </c>
      <c r="N190" s="17" t="e">
        <f t="shared" si="42"/>
        <v>#DIV/0!</v>
      </c>
      <c r="O190" s="17">
        <f t="shared" si="43"/>
        <v>-32.074999999999989</v>
      </c>
      <c r="P190" s="17" t="e">
        <f t="shared" si="44"/>
        <v>#DIV/0!</v>
      </c>
      <c r="V190" s="3"/>
      <c r="W190" s="3"/>
      <c r="X190" s="3"/>
      <c r="Y190" s="3"/>
      <c r="Z190" s="3"/>
    </row>
    <row r="191" spans="1:26" ht="15.75" customHeight="1">
      <c r="A191" s="13"/>
      <c r="B191" s="13"/>
      <c r="C191" s="13"/>
      <c r="D191" s="11"/>
      <c r="E191" s="14"/>
      <c r="F191" s="14"/>
      <c r="G191" s="15"/>
      <c r="H191" s="18" t="e">
        <f t="shared" si="40"/>
        <v>#DIV/0!</v>
      </c>
      <c r="I191" s="14"/>
      <c r="J191" s="14"/>
      <c r="K191" s="16">
        <v>5</v>
      </c>
      <c r="L191" s="14"/>
      <c r="M191" s="17">
        <f t="shared" si="41"/>
        <v>0</v>
      </c>
      <c r="N191" s="17" t="e">
        <f t="shared" si="42"/>
        <v>#DIV/0!</v>
      </c>
      <c r="O191" s="17">
        <f t="shared" si="43"/>
        <v>-32.074999999999989</v>
      </c>
      <c r="P191" s="17" t="e">
        <f t="shared" si="44"/>
        <v>#DIV/0!</v>
      </c>
      <c r="V191" s="3"/>
      <c r="W191" s="3"/>
      <c r="X191" s="3"/>
      <c r="Y191" s="3"/>
      <c r="Z191" s="3"/>
    </row>
    <row r="192" spans="1:26" ht="15.75" customHeight="1">
      <c r="A192" s="13"/>
      <c r="B192" s="13"/>
      <c r="C192" s="13"/>
      <c r="D192" s="11"/>
      <c r="E192" s="14"/>
      <c r="F192" s="14"/>
      <c r="G192" s="15"/>
      <c r="H192" s="18" t="e">
        <f t="shared" si="40"/>
        <v>#DIV/0!</v>
      </c>
      <c r="I192" s="14"/>
      <c r="J192" s="14"/>
      <c r="K192" s="16">
        <v>5</v>
      </c>
      <c r="L192" s="14"/>
      <c r="M192" s="17">
        <f t="shared" si="41"/>
        <v>0</v>
      </c>
      <c r="N192" s="17" t="e">
        <f t="shared" si="42"/>
        <v>#DIV/0!</v>
      </c>
      <c r="O192" s="17">
        <f t="shared" si="43"/>
        <v>-32.074999999999989</v>
      </c>
      <c r="P192" s="17" t="e">
        <f t="shared" si="44"/>
        <v>#DIV/0!</v>
      </c>
      <c r="V192" s="3"/>
      <c r="W192" s="3"/>
      <c r="X192" s="3"/>
      <c r="Y192" s="3"/>
      <c r="Z192" s="3"/>
    </row>
    <row r="193" spans="1:26" ht="15.75" customHeight="1">
      <c r="A193" s="13"/>
      <c r="B193" s="13"/>
      <c r="C193" s="13"/>
      <c r="D193" s="11"/>
      <c r="E193" s="14"/>
      <c r="F193" s="14"/>
      <c r="G193" s="15"/>
      <c r="H193" s="18" t="e">
        <f t="shared" si="40"/>
        <v>#DIV/0!</v>
      </c>
      <c r="I193" s="14"/>
      <c r="J193" s="14"/>
      <c r="K193" s="16">
        <v>5</v>
      </c>
      <c r="L193" s="14"/>
      <c r="M193" s="17">
        <f t="shared" si="41"/>
        <v>0</v>
      </c>
      <c r="N193" s="17" t="e">
        <f t="shared" si="42"/>
        <v>#DIV/0!</v>
      </c>
      <c r="O193" s="17">
        <f t="shared" si="43"/>
        <v>-32.074999999999989</v>
      </c>
      <c r="P193" s="17" t="e">
        <f t="shared" si="44"/>
        <v>#DIV/0!</v>
      </c>
      <c r="V193" s="3"/>
      <c r="W193" s="3"/>
      <c r="X193" s="3"/>
      <c r="Y193" s="3"/>
      <c r="Z193" s="3"/>
    </row>
    <row r="194" spans="1:26" ht="15.75" customHeight="1">
      <c r="A194" s="13"/>
      <c r="B194" s="13"/>
      <c r="C194" s="13"/>
      <c r="D194" s="11"/>
      <c r="E194" s="14"/>
      <c r="F194" s="14"/>
      <c r="G194" s="15"/>
      <c r="H194" s="18" t="e">
        <f t="shared" si="40"/>
        <v>#DIV/0!</v>
      </c>
      <c r="I194" s="14"/>
      <c r="J194" s="14"/>
      <c r="K194" s="16">
        <v>5</v>
      </c>
      <c r="L194" s="14"/>
      <c r="M194" s="17">
        <f t="shared" si="41"/>
        <v>0</v>
      </c>
      <c r="N194" s="17" t="e">
        <f t="shared" si="42"/>
        <v>#DIV/0!</v>
      </c>
      <c r="O194" s="17">
        <f t="shared" si="43"/>
        <v>-32.074999999999989</v>
      </c>
      <c r="P194" s="17" t="e">
        <f t="shared" si="44"/>
        <v>#DIV/0!</v>
      </c>
      <c r="V194" s="3"/>
      <c r="W194" s="3"/>
      <c r="X194" s="3"/>
      <c r="Y194" s="3"/>
      <c r="Z194" s="3"/>
    </row>
    <row r="195" spans="1:26" ht="15.75" customHeight="1">
      <c r="A195" s="13"/>
      <c r="B195" s="13"/>
      <c r="C195" s="13"/>
      <c r="D195" s="11"/>
      <c r="E195" s="14"/>
      <c r="F195" s="14"/>
      <c r="G195" s="15"/>
      <c r="H195" s="18" t="e">
        <f t="shared" si="40"/>
        <v>#DIV/0!</v>
      </c>
      <c r="I195" s="14"/>
      <c r="J195" s="14"/>
      <c r="K195" s="16">
        <v>5</v>
      </c>
      <c r="L195" s="14"/>
      <c r="M195" s="17">
        <f t="shared" si="41"/>
        <v>0</v>
      </c>
      <c r="N195" s="17" t="e">
        <f t="shared" si="42"/>
        <v>#DIV/0!</v>
      </c>
      <c r="O195" s="17">
        <f t="shared" si="43"/>
        <v>-32.074999999999989</v>
      </c>
      <c r="P195" s="17" t="e">
        <f t="shared" si="44"/>
        <v>#DIV/0!</v>
      </c>
      <c r="V195" s="3"/>
      <c r="W195" s="3"/>
      <c r="X195" s="3"/>
      <c r="Y195" s="3"/>
      <c r="Z195" s="3"/>
    </row>
    <row r="196" spans="1:26" ht="15.75" customHeight="1">
      <c r="A196" s="13"/>
      <c r="B196" s="13"/>
      <c r="C196" s="13"/>
      <c r="D196" s="11"/>
      <c r="E196" s="14"/>
      <c r="F196" s="14"/>
      <c r="G196" s="15"/>
      <c r="H196" s="18" t="e">
        <f t="shared" si="40"/>
        <v>#DIV/0!</v>
      </c>
      <c r="I196" s="14"/>
      <c r="J196" s="14"/>
      <c r="K196" s="16">
        <v>5</v>
      </c>
      <c r="L196" s="14"/>
      <c r="M196" s="17">
        <f t="shared" si="41"/>
        <v>0</v>
      </c>
      <c r="N196" s="17" t="e">
        <f t="shared" si="42"/>
        <v>#DIV/0!</v>
      </c>
      <c r="O196" s="17">
        <f t="shared" si="43"/>
        <v>-32.074999999999989</v>
      </c>
      <c r="P196" s="17" t="e">
        <f t="shared" si="44"/>
        <v>#DIV/0!</v>
      </c>
      <c r="V196" s="3"/>
      <c r="W196" s="3"/>
      <c r="X196" s="3"/>
      <c r="Y196" s="3"/>
      <c r="Z196" s="3"/>
    </row>
    <row r="197" spans="1:26" ht="15.75" customHeight="1">
      <c r="A197" s="13"/>
      <c r="B197" s="13"/>
      <c r="C197" s="13"/>
      <c r="D197" s="11"/>
      <c r="E197" s="14"/>
      <c r="F197" s="14"/>
      <c r="G197" s="15"/>
      <c r="H197" s="18" t="e">
        <f t="shared" si="40"/>
        <v>#DIV/0!</v>
      </c>
      <c r="I197" s="14"/>
      <c r="J197" s="14"/>
      <c r="K197" s="16">
        <v>5</v>
      </c>
      <c r="L197" s="14"/>
      <c r="M197" s="17">
        <f t="shared" si="41"/>
        <v>0</v>
      </c>
      <c r="N197" s="17" t="e">
        <f t="shared" si="42"/>
        <v>#DIV/0!</v>
      </c>
      <c r="O197" s="17">
        <f t="shared" si="43"/>
        <v>-32.074999999999989</v>
      </c>
      <c r="P197" s="17" t="e">
        <f t="shared" si="44"/>
        <v>#DIV/0!</v>
      </c>
      <c r="V197" s="3"/>
      <c r="W197" s="3"/>
      <c r="X197" s="3"/>
      <c r="Y197" s="3"/>
      <c r="Z197" s="3"/>
    </row>
    <row r="198" spans="1:26" ht="15.75" customHeight="1">
      <c r="A198" s="13"/>
      <c r="B198" s="13"/>
      <c r="C198" s="13"/>
      <c r="D198" s="11"/>
      <c r="E198" s="14"/>
      <c r="F198" s="14"/>
      <c r="G198" s="15"/>
      <c r="H198" s="18" t="e">
        <f t="shared" si="40"/>
        <v>#DIV/0!</v>
      </c>
      <c r="I198" s="14"/>
      <c r="J198" s="14"/>
      <c r="K198" s="16">
        <v>5</v>
      </c>
      <c r="L198" s="14"/>
      <c r="M198" s="17">
        <f t="shared" si="41"/>
        <v>0</v>
      </c>
      <c r="N198" s="17" t="e">
        <f t="shared" si="42"/>
        <v>#DIV/0!</v>
      </c>
      <c r="O198" s="17">
        <f t="shared" si="43"/>
        <v>-32.074999999999989</v>
      </c>
      <c r="P198" s="17" t="e">
        <f t="shared" si="44"/>
        <v>#DIV/0!</v>
      </c>
      <c r="V198" s="3"/>
      <c r="W198" s="3"/>
      <c r="X198" s="3"/>
      <c r="Y198" s="3"/>
      <c r="Z198" s="3"/>
    </row>
    <row r="199" spans="1:26" ht="15.75" customHeight="1">
      <c r="A199" s="13"/>
      <c r="B199" s="13"/>
      <c r="C199" s="13"/>
      <c r="D199" s="11"/>
      <c r="E199" s="14"/>
      <c r="F199" s="14"/>
      <c r="G199" s="15"/>
      <c r="H199" s="18" t="e">
        <f t="shared" si="40"/>
        <v>#DIV/0!</v>
      </c>
      <c r="I199" s="14"/>
      <c r="J199" s="14"/>
      <c r="K199" s="16">
        <v>5</v>
      </c>
      <c r="L199" s="14"/>
      <c r="M199" s="17">
        <f t="shared" si="41"/>
        <v>0</v>
      </c>
      <c r="N199" s="17" t="e">
        <f t="shared" si="42"/>
        <v>#DIV/0!</v>
      </c>
      <c r="O199" s="17">
        <f t="shared" si="43"/>
        <v>-32.074999999999989</v>
      </c>
      <c r="P199" s="17" t="e">
        <f t="shared" si="44"/>
        <v>#DIV/0!</v>
      </c>
      <c r="V199" s="3"/>
      <c r="W199" s="3"/>
      <c r="X199" s="3"/>
      <c r="Y199" s="3"/>
      <c r="Z199" s="3"/>
    </row>
    <row r="200" spans="1:26" ht="15.75" customHeight="1">
      <c r="A200" s="13"/>
      <c r="B200" s="13"/>
      <c r="C200" s="13"/>
      <c r="D200" s="11"/>
      <c r="E200" s="14"/>
      <c r="F200" s="14"/>
      <c r="G200" s="15"/>
      <c r="H200" s="18" t="e">
        <f t="shared" si="40"/>
        <v>#DIV/0!</v>
      </c>
      <c r="I200" s="14"/>
      <c r="J200" s="14"/>
      <c r="K200" s="16">
        <v>5</v>
      </c>
      <c r="L200" s="14"/>
      <c r="M200" s="17">
        <f t="shared" si="41"/>
        <v>0</v>
      </c>
      <c r="N200" s="17" t="e">
        <f t="shared" si="42"/>
        <v>#DIV/0!</v>
      </c>
      <c r="O200" s="17">
        <f t="shared" si="43"/>
        <v>-32.074999999999989</v>
      </c>
      <c r="P200" s="17" t="e">
        <f t="shared" si="44"/>
        <v>#DIV/0!</v>
      </c>
      <c r="V200" s="3"/>
      <c r="W200" s="3"/>
      <c r="X200" s="3"/>
      <c r="Y200" s="3"/>
      <c r="Z200" s="3"/>
    </row>
    <row r="201" spans="1:26" ht="15.75" customHeight="1">
      <c r="A201" s="13"/>
      <c r="B201" s="13"/>
      <c r="C201" s="13"/>
      <c r="D201" s="11"/>
      <c r="E201" s="14"/>
      <c r="F201" s="14"/>
      <c r="G201" s="15"/>
      <c r="H201" s="18" t="e">
        <f t="shared" si="40"/>
        <v>#DIV/0!</v>
      </c>
      <c r="I201" s="14"/>
      <c r="J201" s="14"/>
      <c r="K201" s="16">
        <v>5</v>
      </c>
      <c r="L201" s="14"/>
      <c r="M201" s="17">
        <f t="shared" si="41"/>
        <v>0</v>
      </c>
      <c r="N201" s="17" t="e">
        <f t="shared" si="42"/>
        <v>#DIV/0!</v>
      </c>
      <c r="O201" s="17">
        <f t="shared" si="43"/>
        <v>-32.074999999999989</v>
      </c>
      <c r="P201" s="17" t="e">
        <f t="shared" si="44"/>
        <v>#DIV/0!</v>
      </c>
      <c r="V201" s="3"/>
      <c r="W201" s="3"/>
      <c r="X201" s="3"/>
      <c r="Y201" s="3"/>
      <c r="Z201" s="3"/>
    </row>
    <row r="202" spans="1:26" ht="15.75" customHeight="1">
      <c r="A202" s="13"/>
      <c r="B202" s="13"/>
      <c r="C202" s="13"/>
      <c r="D202" s="11"/>
      <c r="E202" s="14"/>
      <c r="F202" s="14"/>
      <c r="G202" s="15"/>
      <c r="H202" s="18" t="e">
        <f t="shared" si="40"/>
        <v>#DIV/0!</v>
      </c>
      <c r="I202" s="14"/>
      <c r="J202" s="14"/>
      <c r="K202" s="16">
        <v>5</v>
      </c>
      <c r="L202" s="14"/>
      <c r="M202" s="17">
        <f t="shared" si="41"/>
        <v>0</v>
      </c>
      <c r="N202" s="17" t="e">
        <f t="shared" si="42"/>
        <v>#DIV/0!</v>
      </c>
      <c r="O202" s="17">
        <f t="shared" si="43"/>
        <v>-32.074999999999989</v>
      </c>
      <c r="P202" s="17" t="e">
        <f t="shared" si="44"/>
        <v>#DIV/0!</v>
      </c>
      <c r="V202" s="3"/>
      <c r="W202" s="3"/>
      <c r="X202" s="3"/>
      <c r="Y202" s="3"/>
      <c r="Z202" s="3"/>
    </row>
    <row r="203" spans="1:26" ht="15.75" customHeight="1">
      <c r="A203" s="13"/>
      <c r="B203" s="13"/>
      <c r="C203" s="13"/>
      <c r="D203" s="11"/>
      <c r="E203" s="14"/>
      <c r="F203" s="14"/>
      <c r="G203" s="15"/>
      <c r="H203" s="18" t="e">
        <f t="shared" si="40"/>
        <v>#DIV/0!</v>
      </c>
      <c r="I203" s="14"/>
      <c r="J203" s="14"/>
      <c r="K203" s="16">
        <v>5</v>
      </c>
      <c r="L203" s="14"/>
      <c r="M203" s="17">
        <f t="shared" si="41"/>
        <v>0</v>
      </c>
      <c r="N203" s="17" t="e">
        <f t="shared" si="42"/>
        <v>#DIV/0!</v>
      </c>
      <c r="O203" s="17">
        <f t="shared" si="43"/>
        <v>-32.074999999999989</v>
      </c>
      <c r="P203" s="17" t="e">
        <f t="shared" si="44"/>
        <v>#DIV/0!</v>
      </c>
      <c r="V203" s="3"/>
      <c r="W203" s="3"/>
      <c r="X203" s="3"/>
      <c r="Y203" s="3"/>
      <c r="Z203" s="3"/>
    </row>
    <row r="204" spans="1:26" ht="15.75" customHeight="1">
      <c r="A204" s="13"/>
      <c r="B204" s="13"/>
      <c r="C204" s="13"/>
      <c r="D204" s="11"/>
      <c r="E204" s="14"/>
      <c r="F204" s="14"/>
      <c r="G204" s="15"/>
      <c r="H204" s="18" t="e">
        <f t="shared" si="40"/>
        <v>#DIV/0!</v>
      </c>
      <c r="I204" s="14"/>
      <c r="J204" s="14"/>
      <c r="K204" s="16">
        <v>5</v>
      </c>
      <c r="L204" s="14"/>
      <c r="M204" s="17">
        <f t="shared" si="41"/>
        <v>0</v>
      </c>
      <c r="N204" s="17" t="e">
        <f t="shared" si="42"/>
        <v>#DIV/0!</v>
      </c>
      <c r="O204" s="17">
        <f t="shared" si="43"/>
        <v>-32.074999999999989</v>
      </c>
      <c r="P204" s="17" t="e">
        <f t="shared" si="44"/>
        <v>#DIV/0!</v>
      </c>
      <c r="V204" s="3"/>
      <c r="W204" s="3"/>
      <c r="X204" s="3"/>
      <c r="Y204" s="3"/>
      <c r="Z204" s="3"/>
    </row>
    <row r="205" spans="1:26" ht="15.75" customHeight="1">
      <c r="A205" s="13"/>
      <c r="B205" s="13"/>
      <c r="C205" s="13"/>
      <c r="D205" s="11"/>
      <c r="E205" s="14"/>
      <c r="F205" s="14"/>
      <c r="G205" s="15"/>
      <c r="H205" s="18" t="e">
        <f t="shared" si="40"/>
        <v>#DIV/0!</v>
      </c>
      <c r="I205" s="14"/>
      <c r="J205" s="14"/>
      <c r="K205" s="16">
        <v>5</v>
      </c>
      <c r="L205" s="14"/>
      <c r="M205" s="17">
        <f t="shared" si="41"/>
        <v>0</v>
      </c>
      <c r="N205" s="17" t="e">
        <f t="shared" si="42"/>
        <v>#DIV/0!</v>
      </c>
      <c r="O205" s="17">
        <f t="shared" si="43"/>
        <v>-32.074999999999989</v>
      </c>
      <c r="P205" s="17" t="e">
        <f t="shared" si="44"/>
        <v>#DIV/0!</v>
      </c>
      <c r="V205" s="3"/>
      <c r="W205" s="3"/>
      <c r="X205" s="3"/>
      <c r="Y205" s="3"/>
      <c r="Z205" s="3"/>
    </row>
    <row r="206" spans="1:26" ht="15.75" customHeight="1">
      <c r="A206" s="13"/>
      <c r="B206" s="13"/>
      <c r="C206" s="13"/>
      <c r="D206" s="11"/>
      <c r="E206" s="14"/>
      <c r="F206" s="14"/>
      <c r="G206" s="15"/>
      <c r="H206" s="18" t="e">
        <f t="shared" si="40"/>
        <v>#DIV/0!</v>
      </c>
      <c r="I206" s="14"/>
      <c r="J206" s="14"/>
      <c r="K206" s="16">
        <v>5</v>
      </c>
      <c r="L206" s="14"/>
      <c r="M206" s="17">
        <f t="shared" si="41"/>
        <v>0</v>
      </c>
      <c r="N206" s="17" t="e">
        <f t="shared" si="42"/>
        <v>#DIV/0!</v>
      </c>
      <c r="O206" s="17">
        <f t="shared" si="43"/>
        <v>-32.074999999999989</v>
      </c>
      <c r="P206" s="17" t="e">
        <f t="shared" si="44"/>
        <v>#DIV/0!</v>
      </c>
      <c r="V206" s="3"/>
      <c r="W206" s="3"/>
      <c r="X206" s="3"/>
      <c r="Y206" s="3"/>
      <c r="Z206" s="3"/>
    </row>
    <row r="207" spans="1:26" ht="15.75" customHeight="1">
      <c r="A207" s="13"/>
      <c r="B207" s="13"/>
      <c r="C207" s="13"/>
      <c r="D207" s="11"/>
      <c r="E207" s="14"/>
      <c r="F207" s="14"/>
      <c r="G207" s="15"/>
      <c r="H207" s="18" t="e">
        <f t="shared" si="40"/>
        <v>#DIV/0!</v>
      </c>
      <c r="I207" s="14"/>
      <c r="J207" s="14"/>
      <c r="K207" s="16">
        <v>5</v>
      </c>
      <c r="L207" s="14"/>
      <c r="M207" s="17">
        <f t="shared" si="41"/>
        <v>0</v>
      </c>
      <c r="N207" s="17" t="e">
        <f t="shared" si="42"/>
        <v>#DIV/0!</v>
      </c>
      <c r="O207" s="17">
        <f t="shared" si="43"/>
        <v>-32.074999999999989</v>
      </c>
      <c r="P207" s="17" t="e">
        <f t="shared" si="44"/>
        <v>#DIV/0!</v>
      </c>
      <c r="V207" s="3"/>
      <c r="W207" s="3"/>
      <c r="X207" s="3"/>
      <c r="Y207" s="3"/>
      <c r="Z207" s="3"/>
    </row>
    <row r="208" spans="1:26" ht="15.75" customHeight="1">
      <c r="A208" s="13"/>
      <c r="B208" s="13"/>
      <c r="C208" s="13"/>
      <c r="D208" s="11"/>
      <c r="E208" s="14"/>
      <c r="F208" s="14"/>
      <c r="G208" s="15"/>
      <c r="H208" s="18" t="e">
        <f t="shared" si="40"/>
        <v>#DIV/0!</v>
      </c>
      <c r="I208" s="14"/>
      <c r="J208" s="14"/>
      <c r="K208" s="16">
        <v>5</v>
      </c>
      <c r="L208" s="14"/>
      <c r="M208" s="17">
        <f t="shared" si="41"/>
        <v>0</v>
      </c>
      <c r="N208" s="17" t="e">
        <f t="shared" si="42"/>
        <v>#DIV/0!</v>
      </c>
      <c r="O208" s="17">
        <f t="shared" si="43"/>
        <v>-32.074999999999989</v>
      </c>
      <c r="P208" s="17" t="e">
        <f t="shared" si="44"/>
        <v>#DIV/0!</v>
      </c>
      <c r="V208" s="3"/>
      <c r="W208" s="3"/>
      <c r="X208" s="3"/>
      <c r="Y208" s="3"/>
      <c r="Z208" s="3"/>
    </row>
    <row r="209" spans="1:26" ht="15.75" customHeight="1">
      <c r="A209" s="13"/>
      <c r="B209" s="13"/>
      <c r="C209" s="13"/>
      <c r="D209" s="11"/>
      <c r="E209" s="14"/>
      <c r="F209" s="14"/>
      <c r="G209" s="15"/>
      <c r="H209" s="18" t="e">
        <f t="shared" si="40"/>
        <v>#DIV/0!</v>
      </c>
      <c r="I209" s="14"/>
      <c r="J209" s="14"/>
      <c r="K209" s="16">
        <v>5</v>
      </c>
      <c r="L209" s="14"/>
      <c r="M209" s="17">
        <f t="shared" si="41"/>
        <v>0</v>
      </c>
      <c r="N209" s="17" t="e">
        <f t="shared" si="42"/>
        <v>#DIV/0!</v>
      </c>
      <c r="O209" s="17">
        <f t="shared" si="43"/>
        <v>-32.074999999999989</v>
      </c>
      <c r="P209" s="17" t="e">
        <f t="shared" si="44"/>
        <v>#DIV/0!</v>
      </c>
      <c r="V209" s="3"/>
      <c r="W209" s="3"/>
      <c r="X209" s="3"/>
      <c r="Y209" s="3"/>
      <c r="Z209" s="3"/>
    </row>
    <row r="210" spans="1:26" ht="15.75" customHeight="1">
      <c r="A210" s="13"/>
      <c r="B210" s="13"/>
      <c r="C210" s="13"/>
      <c r="D210" s="11"/>
      <c r="E210" s="14"/>
      <c r="F210" s="14"/>
      <c r="G210" s="15"/>
      <c r="H210" s="18" t="e">
        <f t="shared" si="40"/>
        <v>#DIV/0!</v>
      </c>
      <c r="I210" s="14"/>
      <c r="J210" s="14"/>
      <c r="K210" s="16">
        <v>5</v>
      </c>
      <c r="L210" s="14"/>
      <c r="M210" s="17">
        <f t="shared" si="41"/>
        <v>0</v>
      </c>
      <c r="N210" s="17" t="e">
        <f t="shared" si="42"/>
        <v>#DIV/0!</v>
      </c>
      <c r="O210" s="17">
        <f t="shared" si="43"/>
        <v>-32.074999999999989</v>
      </c>
      <c r="P210" s="17" t="e">
        <f t="shared" si="44"/>
        <v>#DIV/0!</v>
      </c>
      <c r="V210" s="3"/>
      <c r="W210" s="3"/>
      <c r="X210" s="3"/>
      <c r="Y210" s="3"/>
      <c r="Z210" s="3"/>
    </row>
    <row r="211" spans="1:26" ht="15.75" customHeight="1">
      <c r="A211" s="13"/>
      <c r="B211" s="13"/>
      <c r="C211" s="13"/>
      <c r="D211" s="11"/>
      <c r="E211" s="14"/>
      <c r="F211" s="14"/>
      <c r="G211" s="15"/>
      <c r="H211" s="18" t="e">
        <f t="shared" si="40"/>
        <v>#DIV/0!</v>
      </c>
      <c r="I211" s="14"/>
      <c r="J211" s="14"/>
      <c r="K211" s="16">
        <v>5</v>
      </c>
      <c r="L211" s="14"/>
      <c r="M211" s="17">
        <f t="shared" si="41"/>
        <v>0</v>
      </c>
      <c r="N211" s="17" t="e">
        <f t="shared" si="42"/>
        <v>#DIV/0!</v>
      </c>
      <c r="O211" s="17">
        <f t="shared" si="43"/>
        <v>-32.074999999999989</v>
      </c>
      <c r="P211" s="17" t="e">
        <f t="shared" si="44"/>
        <v>#DIV/0!</v>
      </c>
      <c r="V211" s="3"/>
      <c r="W211" s="3"/>
      <c r="X211" s="3"/>
      <c r="Y211" s="3"/>
      <c r="Z211" s="3"/>
    </row>
    <row r="212" spans="1:26" ht="15.75" customHeight="1">
      <c r="A212" s="13"/>
      <c r="B212" s="13"/>
      <c r="C212" s="13"/>
      <c r="D212" s="11"/>
      <c r="E212" s="14"/>
      <c r="F212" s="14"/>
      <c r="G212" s="15"/>
      <c r="H212" s="18" t="e">
        <f t="shared" si="40"/>
        <v>#DIV/0!</v>
      </c>
      <c r="I212" s="14"/>
      <c r="J212" s="14"/>
      <c r="K212" s="16">
        <v>5</v>
      </c>
      <c r="L212" s="14"/>
      <c r="M212" s="17">
        <f t="shared" si="41"/>
        <v>0</v>
      </c>
      <c r="N212" s="17" t="e">
        <f t="shared" si="42"/>
        <v>#DIV/0!</v>
      </c>
      <c r="O212" s="17">
        <f t="shared" si="43"/>
        <v>-32.074999999999989</v>
      </c>
      <c r="P212" s="17" t="e">
        <f t="shared" si="44"/>
        <v>#DIV/0!</v>
      </c>
      <c r="V212" s="3"/>
      <c r="W212" s="3"/>
      <c r="X212" s="3"/>
      <c r="Y212" s="3"/>
      <c r="Z212" s="3"/>
    </row>
    <row r="213" spans="1:26" ht="15.75" customHeight="1">
      <c r="A213" s="13"/>
      <c r="B213" s="13"/>
      <c r="C213" s="13"/>
      <c r="D213" s="11"/>
      <c r="E213" s="14"/>
      <c r="F213" s="14"/>
      <c r="G213" s="15"/>
      <c r="H213" s="18" t="e">
        <f t="shared" si="40"/>
        <v>#DIV/0!</v>
      </c>
      <c r="I213" s="14"/>
      <c r="J213" s="14"/>
      <c r="K213" s="16">
        <v>5</v>
      </c>
      <c r="L213" s="14"/>
      <c r="M213" s="17">
        <f t="shared" si="41"/>
        <v>0</v>
      </c>
      <c r="N213" s="17" t="e">
        <f t="shared" si="42"/>
        <v>#DIV/0!</v>
      </c>
      <c r="O213" s="17">
        <f t="shared" si="43"/>
        <v>-32.074999999999989</v>
      </c>
      <c r="P213" s="17" t="e">
        <f t="shared" si="44"/>
        <v>#DIV/0!</v>
      </c>
      <c r="V213" s="3"/>
      <c r="W213" s="3"/>
      <c r="X213" s="3"/>
      <c r="Y213" s="3"/>
      <c r="Z213" s="3"/>
    </row>
    <row r="214" spans="1:26" ht="15.75" customHeight="1">
      <c r="A214" s="13"/>
      <c r="B214" s="13"/>
      <c r="C214" s="13"/>
      <c r="D214" s="11"/>
      <c r="E214" s="14"/>
      <c r="F214" s="14"/>
      <c r="G214" s="15"/>
      <c r="H214" s="18" t="e">
        <f t="shared" si="40"/>
        <v>#DIV/0!</v>
      </c>
      <c r="I214" s="14"/>
      <c r="J214" s="14"/>
      <c r="K214" s="16">
        <v>5</v>
      </c>
      <c r="L214" s="14"/>
      <c r="M214" s="17">
        <f t="shared" si="41"/>
        <v>0</v>
      </c>
      <c r="N214" s="17" t="e">
        <f t="shared" si="42"/>
        <v>#DIV/0!</v>
      </c>
      <c r="O214" s="17">
        <f t="shared" si="43"/>
        <v>-32.074999999999989</v>
      </c>
      <c r="P214" s="17" t="e">
        <f t="shared" si="44"/>
        <v>#DIV/0!</v>
      </c>
      <c r="V214" s="3"/>
      <c r="W214" s="3"/>
      <c r="X214" s="3"/>
      <c r="Y214" s="3"/>
      <c r="Z214" s="3"/>
    </row>
    <row r="215" spans="1:26" ht="15.75" customHeight="1">
      <c r="A215" s="13"/>
      <c r="B215" s="13"/>
      <c r="C215" s="13"/>
      <c r="D215" s="11"/>
      <c r="E215" s="14"/>
      <c r="F215" s="14"/>
      <c r="G215" s="15"/>
      <c r="H215" s="18" t="e">
        <f t="shared" si="40"/>
        <v>#DIV/0!</v>
      </c>
      <c r="I215" s="14"/>
      <c r="J215" s="14"/>
      <c r="K215" s="16">
        <v>5</v>
      </c>
      <c r="L215" s="14"/>
      <c r="M215" s="17">
        <f t="shared" si="41"/>
        <v>0</v>
      </c>
      <c r="N215" s="17" t="e">
        <f t="shared" si="42"/>
        <v>#DIV/0!</v>
      </c>
      <c r="O215" s="17">
        <f t="shared" si="43"/>
        <v>-32.074999999999989</v>
      </c>
      <c r="P215" s="17" t="e">
        <f t="shared" si="44"/>
        <v>#DIV/0!</v>
      </c>
      <c r="V215" s="3"/>
      <c r="W215" s="3"/>
      <c r="X215" s="3"/>
      <c r="Y215" s="3"/>
      <c r="Z215" s="3"/>
    </row>
    <row r="216" spans="1:26" ht="15.75" customHeight="1">
      <c r="A216" s="13"/>
      <c r="B216" s="13"/>
      <c r="C216" s="13"/>
      <c r="D216" s="11"/>
      <c r="E216" s="14"/>
      <c r="F216" s="14"/>
      <c r="G216" s="15"/>
      <c r="H216" s="18" t="e">
        <f t="shared" si="40"/>
        <v>#DIV/0!</v>
      </c>
      <c r="I216" s="14"/>
      <c r="J216" s="14"/>
      <c r="K216" s="16">
        <v>5</v>
      </c>
      <c r="L216" s="14"/>
      <c r="M216" s="17">
        <f t="shared" si="41"/>
        <v>0</v>
      </c>
      <c r="N216" s="17" t="e">
        <f t="shared" si="42"/>
        <v>#DIV/0!</v>
      </c>
      <c r="O216" s="17">
        <f t="shared" si="43"/>
        <v>-32.074999999999989</v>
      </c>
      <c r="P216" s="17" t="e">
        <f t="shared" si="44"/>
        <v>#DIV/0!</v>
      </c>
      <c r="V216" s="3"/>
      <c r="W216" s="3"/>
      <c r="X216" s="3"/>
      <c r="Y216" s="3"/>
      <c r="Z216" s="3"/>
    </row>
    <row r="217" spans="1:26" ht="15.75" customHeight="1">
      <c r="A217" s="13"/>
      <c r="B217" s="13"/>
      <c r="C217" s="13"/>
      <c r="D217" s="11"/>
      <c r="E217" s="14"/>
      <c r="F217" s="14"/>
      <c r="G217" s="15"/>
      <c r="H217" s="18" t="e">
        <f t="shared" si="40"/>
        <v>#DIV/0!</v>
      </c>
      <c r="I217" s="14"/>
      <c r="J217" s="14"/>
      <c r="K217" s="16">
        <v>5</v>
      </c>
      <c r="L217" s="14"/>
      <c r="M217" s="17">
        <f t="shared" si="41"/>
        <v>0</v>
      </c>
      <c r="N217" s="17" t="e">
        <f t="shared" si="42"/>
        <v>#DIV/0!</v>
      </c>
      <c r="O217" s="17">
        <f t="shared" si="43"/>
        <v>-32.074999999999989</v>
      </c>
      <c r="P217" s="17" t="e">
        <f t="shared" si="44"/>
        <v>#DIV/0!</v>
      </c>
      <c r="V217" s="3"/>
      <c r="W217" s="3"/>
      <c r="X217" s="3"/>
      <c r="Y217" s="3"/>
      <c r="Z217" s="3"/>
    </row>
    <row r="218" spans="1:26" ht="15.75" customHeight="1">
      <c r="A218" s="13"/>
      <c r="B218" s="13"/>
      <c r="C218" s="13"/>
      <c r="D218" s="11"/>
      <c r="E218" s="14"/>
      <c r="F218" s="14"/>
      <c r="G218" s="15"/>
      <c r="H218" s="18" t="e">
        <f t="shared" si="40"/>
        <v>#DIV/0!</v>
      </c>
      <c r="I218" s="14"/>
      <c r="J218" s="14"/>
      <c r="K218" s="16">
        <v>5</v>
      </c>
      <c r="L218" s="14"/>
      <c r="M218" s="17">
        <f t="shared" si="41"/>
        <v>0</v>
      </c>
      <c r="N218" s="17" t="e">
        <f t="shared" si="42"/>
        <v>#DIV/0!</v>
      </c>
      <c r="O218" s="17">
        <f t="shared" si="43"/>
        <v>-32.074999999999989</v>
      </c>
      <c r="P218" s="17" t="e">
        <f t="shared" si="44"/>
        <v>#DIV/0!</v>
      </c>
      <c r="V218" s="3"/>
      <c r="W218" s="3"/>
      <c r="X218" s="3"/>
      <c r="Y218" s="3"/>
      <c r="Z218" s="3"/>
    </row>
    <row r="219" spans="1:26" ht="15.75" customHeight="1">
      <c r="A219" s="13"/>
      <c r="B219" s="13"/>
      <c r="C219" s="13"/>
      <c r="D219" s="11"/>
      <c r="E219" s="14"/>
      <c r="F219" s="14"/>
      <c r="G219" s="15"/>
      <c r="H219" s="18" t="e">
        <f t="shared" si="40"/>
        <v>#DIV/0!</v>
      </c>
      <c r="I219" s="14"/>
      <c r="J219" s="14"/>
      <c r="K219" s="16">
        <v>5</v>
      </c>
      <c r="L219" s="14"/>
      <c r="M219" s="17">
        <f t="shared" si="41"/>
        <v>0</v>
      </c>
      <c r="N219" s="17" t="e">
        <f t="shared" si="42"/>
        <v>#DIV/0!</v>
      </c>
      <c r="O219" s="17">
        <f t="shared" si="43"/>
        <v>-32.074999999999989</v>
      </c>
      <c r="P219" s="17" t="e">
        <f t="shared" si="44"/>
        <v>#DIV/0!</v>
      </c>
      <c r="V219" s="3"/>
      <c r="W219" s="3"/>
      <c r="X219" s="3"/>
      <c r="Y219" s="3"/>
      <c r="Z219" s="3"/>
    </row>
    <row r="220" spans="1:26" ht="15.75" customHeight="1">
      <c r="A220" s="13"/>
      <c r="B220" s="13"/>
      <c r="C220" s="13"/>
      <c r="D220" s="11"/>
      <c r="E220" s="14"/>
      <c r="F220" s="14"/>
      <c r="G220" s="15"/>
      <c r="H220" s="18" t="e">
        <f t="shared" si="40"/>
        <v>#DIV/0!</v>
      </c>
      <c r="I220" s="14"/>
      <c r="J220" s="14"/>
      <c r="K220" s="16">
        <v>5</v>
      </c>
      <c r="L220" s="14"/>
      <c r="M220" s="17">
        <f t="shared" si="41"/>
        <v>0</v>
      </c>
      <c r="N220" s="17" t="e">
        <f t="shared" si="42"/>
        <v>#DIV/0!</v>
      </c>
      <c r="O220" s="17">
        <f t="shared" si="43"/>
        <v>-32.074999999999989</v>
      </c>
      <c r="P220" s="17" t="e">
        <f t="shared" si="44"/>
        <v>#DIV/0!</v>
      </c>
      <c r="V220" s="3"/>
      <c r="W220" s="3"/>
      <c r="X220" s="3"/>
      <c r="Y220" s="3"/>
      <c r="Z220" s="3"/>
    </row>
    <row r="221" spans="1:26" ht="15.75" customHeight="1">
      <c r="A221" s="13"/>
      <c r="B221" s="13"/>
      <c r="C221" s="13"/>
      <c r="D221" s="11"/>
      <c r="E221" s="14"/>
      <c r="F221" s="14"/>
      <c r="G221" s="15"/>
      <c r="H221" s="18" t="e">
        <f t="shared" si="40"/>
        <v>#DIV/0!</v>
      </c>
      <c r="I221" s="14"/>
      <c r="J221" s="14"/>
      <c r="K221" s="16">
        <v>5</v>
      </c>
      <c r="L221" s="14"/>
      <c r="M221" s="17">
        <f t="shared" si="41"/>
        <v>0</v>
      </c>
      <c r="N221" s="17" t="e">
        <f t="shared" si="42"/>
        <v>#DIV/0!</v>
      </c>
      <c r="O221" s="17">
        <f t="shared" si="43"/>
        <v>-32.074999999999989</v>
      </c>
      <c r="P221" s="17" t="e">
        <f t="shared" si="44"/>
        <v>#DIV/0!</v>
      </c>
      <c r="V221" s="3"/>
      <c r="W221" s="3"/>
      <c r="X221" s="3"/>
      <c r="Y221" s="3"/>
      <c r="Z221" s="3"/>
    </row>
    <row r="222" spans="1:26" ht="15.75" customHeight="1">
      <c r="A222" s="13"/>
      <c r="B222" s="13"/>
      <c r="C222" s="13"/>
      <c r="D222" s="11"/>
      <c r="E222" s="14"/>
      <c r="F222" s="14"/>
      <c r="G222" s="15"/>
      <c r="H222" s="18" t="e">
        <f t="shared" si="40"/>
        <v>#DIV/0!</v>
      </c>
      <c r="I222" s="14"/>
      <c r="J222" s="14"/>
      <c r="K222" s="16">
        <v>5</v>
      </c>
      <c r="L222" s="14"/>
      <c r="M222" s="17">
        <f t="shared" si="41"/>
        <v>0</v>
      </c>
      <c r="N222" s="17" t="e">
        <f t="shared" si="42"/>
        <v>#DIV/0!</v>
      </c>
      <c r="O222" s="17">
        <f t="shared" si="43"/>
        <v>-32.074999999999989</v>
      </c>
      <c r="P222" s="17" t="e">
        <f t="shared" si="44"/>
        <v>#DIV/0!</v>
      </c>
      <c r="V222" s="3"/>
      <c r="W222" s="3"/>
      <c r="X222" s="3"/>
      <c r="Y222" s="3"/>
      <c r="Z222" s="3"/>
    </row>
    <row r="223" spans="1:26" ht="15.75" customHeight="1">
      <c r="A223" s="13"/>
      <c r="B223" s="13"/>
      <c r="C223" s="13"/>
      <c r="D223" s="11"/>
      <c r="E223" s="14"/>
      <c r="F223" s="14"/>
      <c r="G223" s="15"/>
      <c r="H223" s="18" t="e">
        <f t="shared" si="40"/>
        <v>#DIV/0!</v>
      </c>
      <c r="I223" s="14"/>
      <c r="J223" s="14"/>
      <c r="K223" s="16">
        <v>5</v>
      </c>
      <c r="L223" s="14"/>
      <c r="M223" s="17">
        <f t="shared" si="41"/>
        <v>0</v>
      </c>
      <c r="N223" s="17" t="e">
        <f t="shared" si="42"/>
        <v>#DIV/0!</v>
      </c>
      <c r="O223" s="17">
        <f t="shared" si="43"/>
        <v>-32.074999999999989</v>
      </c>
      <c r="P223" s="17" t="e">
        <f t="shared" si="44"/>
        <v>#DIV/0!</v>
      </c>
      <c r="V223" s="3"/>
      <c r="W223" s="3"/>
      <c r="X223" s="3"/>
      <c r="Y223" s="3"/>
      <c r="Z223" s="3"/>
    </row>
    <row r="224" spans="1:26" ht="15.75" customHeight="1">
      <c r="A224" s="13"/>
      <c r="B224" s="13"/>
      <c r="C224" s="13"/>
      <c r="D224" s="11"/>
      <c r="E224" s="14"/>
      <c r="F224" s="14"/>
      <c r="G224" s="15"/>
      <c r="H224" s="18" t="e">
        <f t="shared" si="40"/>
        <v>#DIV/0!</v>
      </c>
      <c r="I224" s="14"/>
      <c r="J224" s="14"/>
      <c r="K224" s="16"/>
      <c r="L224" s="14"/>
      <c r="M224" s="17">
        <f t="shared" si="41"/>
        <v>0</v>
      </c>
      <c r="N224" s="17" t="e">
        <f t="shared" si="42"/>
        <v>#DIV/0!</v>
      </c>
      <c r="O224" s="17">
        <f t="shared" si="43"/>
        <v>-32.074999999999989</v>
      </c>
      <c r="P224" s="17" t="e">
        <f t="shared" si="44"/>
        <v>#DIV/0!</v>
      </c>
      <c r="V224" s="3"/>
      <c r="W224" s="3"/>
      <c r="X224" s="3"/>
      <c r="Y224" s="3"/>
      <c r="Z224" s="3"/>
    </row>
    <row r="225" spans="1:26" ht="15.75" customHeight="1">
      <c r="A225" s="13"/>
      <c r="B225" s="13"/>
      <c r="C225" s="13"/>
      <c r="D225" s="11"/>
      <c r="E225" s="14"/>
      <c r="F225" s="14"/>
      <c r="G225" s="15"/>
      <c r="H225" s="18" t="e">
        <f t="shared" si="40"/>
        <v>#DIV/0!</v>
      </c>
      <c r="I225" s="14"/>
      <c r="J225" s="14"/>
      <c r="K225" s="16"/>
      <c r="L225" s="14"/>
      <c r="M225" s="17">
        <f t="shared" si="41"/>
        <v>0</v>
      </c>
      <c r="N225" s="17" t="e">
        <f t="shared" si="42"/>
        <v>#DIV/0!</v>
      </c>
      <c r="O225" s="17">
        <f t="shared" si="43"/>
        <v>-32.074999999999989</v>
      </c>
      <c r="P225" s="17" t="e">
        <f t="shared" si="44"/>
        <v>#DIV/0!</v>
      </c>
      <c r="V225" s="3"/>
      <c r="W225" s="3"/>
      <c r="X225" s="3"/>
      <c r="Y225" s="3"/>
      <c r="Z225" s="3"/>
    </row>
    <row r="226" spans="1:26" ht="15.75" customHeight="1">
      <c r="A226" s="13"/>
      <c r="B226" s="13"/>
      <c r="C226" s="13"/>
      <c r="D226" s="11"/>
      <c r="E226" s="14"/>
      <c r="F226" s="14"/>
      <c r="G226" s="15"/>
      <c r="H226" s="18" t="e">
        <f t="shared" si="40"/>
        <v>#DIV/0!</v>
      </c>
      <c r="I226" s="14"/>
      <c r="J226" s="14"/>
      <c r="K226" s="16"/>
      <c r="L226" s="14"/>
      <c r="M226" s="17">
        <f t="shared" si="41"/>
        <v>0</v>
      </c>
      <c r="N226" s="17" t="e">
        <f t="shared" si="42"/>
        <v>#DIV/0!</v>
      </c>
      <c r="O226" s="17">
        <f t="shared" si="43"/>
        <v>-32.074999999999989</v>
      </c>
      <c r="P226" s="17" t="e">
        <f t="shared" si="44"/>
        <v>#DIV/0!</v>
      </c>
      <c r="V226" s="3"/>
      <c r="W226" s="3"/>
      <c r="X226" s="3"/>
      <c r="Y226" s="3"/>
      <c r="Z226" s="3"/>
    </row>
  </sheetData>
  <autoFilter ref="A1:P226" xr:uid="{00000000-0009-0000-0000-000000000000}"/>
  <phoneticPr fontId="6" type="noConversion"/>
  <dataValidations count="1">
    <dataValidation type="list" allowBlank="1" sqref="L2:L226" xr:uid="{00000000-0002-0000-0000-000000000000}">
      <formula1>"Persa,Vinta"</formula1>
      <formula2>0</formula2>
    </dataValidation>
  </dataValidations>
  <pageMargins left="0.7" right="0.7" top="0.75" bottom="0.75" header="0.511811023622047" footer="0.511811023622047"/>
  <pageSetup paperSize="9" scale="8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lista scommesse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sergio gattulli</cp:lastModifiedBy>
  <cp:revision>20</cp:revision>
  <dcterms:modified xsi:type="dcterms:W3CDTF">2026-10-27T17:16:04Z</dcterms:modified>
  <dc:language>it-IT</dc:language>
</cp:coreProperties>
</file>